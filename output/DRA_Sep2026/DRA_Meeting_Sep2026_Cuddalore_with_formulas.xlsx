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w it works" sheetId="2" state="visible" r:id="rId4"/>
    <sheet name="NISD RURAL" sheetId="3" state="visible" r:id="rId5"/>
    <sheet name="NISD RURAL TOP 5 REJECTION VILL" sheetId="4" state="visible" r:id="rId6"/>
    <sheet name="NISD NATHAM" sheetId="5" state="visible" r:id="rId7"/>
    <sheet name="NISD NATHAM TOP 5 REJECTION VIL" sheetId="6" state="visible" r:id="rId8"/>
    <sheet name="URBAN NISD" sheetId="7" state="visible" r:id="rId9"/>
    <sheet name="ISD RURAL" sheetId="8" state="visible" r:id="rId10"/>
    <sheet name="ISD RURAL TOP 5VILLAGES" sheetId="9" state="visible" r:id="rId11"/>
    <sheet name="ISD VAO &amp;NATHAM " sheetId="10" state="visible" r:id="rId12"/>
    <sheet name="ISD NATHAM" sheetId="11" state="visible" r:id="rId13"/>
    <sheet name="ISD NATHAM TOP 5 VILLAGES" sheetId="12" state="visible" r:id="rId14"/>
    <sheet name="URBAN ISD" sheetId="13" state="visible" r:id="rId15"/>
    <sheet name="RURAL FL" sheetId="14" state="visible" r:id="rId16"/>
    <sheet name="NATHAM FL" sheetId="15" state="visible" r:id="rId17"/>
    <sheet name="URBAN FL" sheetId="16" state="visible" r:id="rId18"/>
    <sheet name="cud -div" sheetId="17" state="visible" r:id="rId19"/>
    <sheet name="cdm-div" sheetId="18" state="visible" r:id="rId20"/>
    <sheet name="vdm-div" sheetId="19" state="visible" r:id="rId21"/>
    <sheet name="urban" sheetId="20" state="visible" r:id="rId22"/>
    <sheet name="abstract" sheetId="21" state="visible" r:id="rId23"/>
    <sheet name="Checks" sheetId="22" state="visible" r:id="rId24"/>
    <sheet name="Calc" sheetId="23" state="visible" r:id="rId25"/>
  </sheets>
  <definedNames>
    <definedName function="false" hidden="false" localSheetId="0" name="_xlnm.Print_Area" vbProcedure="false">Dashboard!$A$1:$R$80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24" authorId="0">
      <text>
        <r>
          <rPr>
            <sz val="10"/>
            <rFont val="Arial"/>
            <family val="2"/>
          </rPr>
          <t xml:space="preserve">Choose a category from the drop-down list.</t>
        </r>
      </text>
    </comment>
  </commentList>
</comments>
</file>

<file path=xl/sharedStrings.xml><?xml version="1.0" encoding="utf-8"?>
<sst xmlns="http://schemas.openxmlformats.org/spreadsheetml/2006/main" count="1426" uniqueCount="670">
  <si>
    <t xml:space="preserve">DRA MEETING  |  CUDDALORE DISTRICT</t>
  </si>
  <si>
    <t xml:space="preserve">Report period</t>
  </si>
  <si>
    <t xml:space="preserve">Application disposal review: NISD, ISD and F-Line (Rural, Natham, Urban). Everything on this sheet is calculated from the data sheets.</t>
  </si>
  <si>
    <t xml:space="preserve">1 to 30 September 2026</t>
  </si>
  <si>
    <t xml:space="preserve">Applications handled</t>
  </si>
  <si>
    <t xml:space="preserve">Disposed</t>
  </si>
  <si>
    <t xml:space="preserve">Pending</t>
  </si>
  <si>
    <t xml:space="preserve">Pending beyond time limit</t>
  </si>
  <si>
    <t xml:space="preserve">1. Disposal by application stream (worst to best)</t>
  </si>
  <si>
    <t xml:space="preserve">2. Taluk-wise disposal % by stream (taluks ranked worst to best)</t>
  </si>
  <si>
    <t xml:space="preserve">Stream</t>
  </si>
  <si>
    <t xml:space="preserve">Total</t>
  </si>
  <si>
    <t xml:space="preserve">Disposal %</t>
  </si>
  <si>
    <t xml:space="preserve">Beyond limit</t>
  </si>
  <si>
    <t xml:space="preserve">Rank</t>
  </si>
  <si>
    <t xml:space="preserve">Taluk</t>
  </si>
  <si>
    <t xml:space="preserve">NISD Rural</t>
  </si>
  <si>
    <t xml:space="preserve">NISD Natham</t>
  </si>
  <si>
    <t xml:space="preserve">ISD Rural</t>
  </si>
  <si>
    <t xml:space="preserve">ISD Natham</t>
  </si>
  <si>
    <t xml:space="preserve">F-Line Rural</t>
  </si>
  <si>
    <t xml:space="preserve">F-Line Natham</t>
  </si>
  <si>
    <t xml:space="preserve">Pending % (6 streams)</t>
  </si>
  <si>
    <t xml:space="preserve">Pending count</t>
  </si>
  <si>
    <t xml:space="preserve">District</t>
  </si>
  <si>
    <t xml:space="preserve">Colour: green = 75% or more disposed, amber = 50 to 75%, red = below 50%. Pending %: green up to 25%, amber to 50%, red above.</t>
  </si>
  <si>
    <t xml:space="preserve">3. Surveyor disposal: September vs August (by taluk)</t>
  </si>
  <si>
    <t xml:space="preserve">4. Pending within vs beyond time limit</t>
  </si>
  <si>
    <t xml:space="preserve">5. Top rejection villages</t>
  </si>
  <si>
    <t xml:space="preserve">Sep-26</t>
  </si>
  <si>
    <t xml:space="preserve">Aug-26</t>
  </si>
  <si>
    <t xml:space="preserve">Change</t>
  </si>
  <si>
    <t xml:space="preserve">Change %</t>
  </si>
  <si>
    <t xml:space="preserve">Within limit</t>
  </si>
  <si>
    <t xml:space="preserve">Category ▸</t>
  </si>
  <si>
    <t xml:space="preserve">Village</t>
  </si>
  <si>
    <t xml:space="preserve">Rejections</t>
  </si>
  <si>
    <t xml:space="preserve">District total</t>
  </si>
  <si>
    <t xml:space="preserve">Key points (update automatically)</t>
  </si>
  <si>
    <t xml:space="preserve">HOW THIS WORKBOOK WORKS</t>
  </si>
  <si>
    <t xml:space="preserve">DRA Meeting, Cuddalore District. You type the figures in the blue cells; every total, percentage, average, check and the whole Dashboard is calculated by formulas.</t>
  </si>
  <si>
    <t xml:space="preserve">1.  Colours: what you can change</t>
  </si>
  <si>
    <t xml:space="preserve">Colour</t>
  </si>
  <si>
    <t xml:space="preserve">Meaning</t>
  </si>
  <si>
    <t xml:space="preserve">Example</t>
  </si>
  <si>
    <t xml:space="preserve">What to do</t>
  </si>
  <si>
    <t xml:space="preserve">Blue text</t>
  </si>
  <si>
    <t xml:space="preserve">Typed data (input)</t>
  </si>
  <si>
    <t xml:space="preserve">Opening balance, Received, Approved, Rejected, pending breakup, surveyor disposals</t>
  </si>
  <si>
    <t xml:space="preserve">Type or change these figures.</t>
  </si>
  <si>
    <t xml:space="preserve">Black text</t>
  </si>
  <si>
    <t xml:space="preserve">Formula (calculated)</t>
  </si>
  <si>
    <t xml:space="preserve">Total, %, Disposed, Pending, Total rows, Averages, everything on the Dashboard</t>
  </si>
  <si>
    <t xml:space="preserve">Do not type over them. They update by themselves.</t>
  </si>
  <si>
    <t xml:space="preserve">Green text</t>
  </si>
  <si>
    <t xml:space="preserve">Figure pulled from another sheet</t>
  </si>
  <si>
    <t xml:space="preserve">ISD VAO sheet district columns, abstract, Calc sheet</t>
  </si>
  <si>
    <t xml:space="preserve">Do not type over them.</t>
  </si>
  <si>
    <t xml:space="preserve">Yellow cell</t>
  </si>
  <si>
    <t xml:space="preserve">Choice on the Dashboard</t>
  </si>
  <si>
    <t xml:space="preserve">Dashboard cell P24 (top rejection villages)</t>
  </si>
  <si>
    <t xml:space="preserve">Pick a category from the drop-down list.</t>
  </si>
  <si>
    <t xml:space="preserve">Red / pink cell</t>
  </si>
  <si>
    <t xml:space="preserve">A problem or an overdue figure</t>
  </si>
  <si>
    <t xml:space="preserve">Check column not 0; pending beyond the time limit</t>
  </si>
  <si>
    <t xml:space="preserve">Red check = fix the typed figures. Red overdue = needs follow-up.</t>
  </si>
  <si>
    <t xml:space="preserve">2.  What each sheet does</t>
  </si>
  <si>
    <t xml:space="preserve">Sheet</t>
  </si>
  <si>
    <t xml:space="preserve">What it holds</t>
  </si>
  <si>
    <t xml:space="preserve">You type (blue)</t>
  </si>
  <si>
    <t xml:space="preserve">Calculated automatically (black)</t>
  </si>
  <si>
    <t xml:space="preserve">Dashboard</t>
  </si>
  <si>
    <t xml:space="preserve">One-page summary of everything, with 4 charts</t>
  </si>
  <si>
    <t xml:space="preserve">Only the category drop-down (P24)</t>
  </si>
  <si>
    <t xml:space="preserve">Headline figures, stream table, taluk heat table, Sep vs Aug, ageing, top villages, key points, charts</t>
  </si>
  <si>
    <t xml:space="preserve">How it works</t>
  </si>
  <si>
    <t xml:space="preserve">This guide</t>
  </si>
  <si>
    <t xml:space="preserve">—</t>
  </si>
  <si>
    <t xml:space="preserve">NISD RURAL, NISD NATHAM, URBAN NISD</t>
  </si>
  <si>
    <t xml:space="preserve">Not Involving Subdivision applications by taluk / town</t>
  </si>
  <si>
    <t xml:space="preserve">Opening, Received, Transferred (Natham), Approved, Rejected, pending breakup</t>
  </si>
  <si>
    <t xml:space="preserve">Total, %, Disposed, Pending, Pending beyond limit, Check, Total row</t>
  </si>
  <si>
    <t xml:space="preserve">ISD RURAL, ISD NATHAM, URBAN ISD</t>
  </si>
  <si>
    <t xml:space="preserve">Involving Subdivision applications by taluk / town</t>
  </si>
  <si>
    <t xml:space="preserve">Same as above</t>
  </si>
  <si>
    <t xml:space="preserve">ISD VAO &amp;NATHAM</t>
  </si>
  <si>
    <t xml:space="preserve">ISD Rural disposal split between surveyor and VAO</t>
  </si>
  <si>
    <t xml:space="preserve">Surveyor approved / rejected, VAO approved / rejected</t>
  </si>
  <si>
    <t xml:space="preserve">District figures (pulled from ISD RURAL by taluk name), %, totals, Check</t>
  </si>
  <si>
    <t xml:space="preserve">RURAL FL, NATHAM FL, URBAN FL</t>
  </si>
  <si>
    <t xml:space="preserve">F-Line applications by taluk / town</t>
  </si>
  <si>
    <t xml:space="preserve">Opening, Received, Accepted, Rejected, pending breakup (up to 5 months)</t>
  </si>
  <si>
    <t xml:space="preserve">4 × TOP 5 VILLAGES sheets</t>
  </si>
  <si>
    <t xml:space="preserve">Top 5 rejection villages per taluk (NISD/ISD, Rural/Natham)</t>
  </si>
  <si>
    <t xml:space="preserve">Village names and rejection counts</t>
  </si>
  <si>
    <t xml:space="preserve">Nothing on the sheet; the Dashboard ranks them</t>
  </si>
  <si>
    <t xml:space="preserve">cud -div, cdm-div, vdm-div</t>
  </si>
  <si>
    <t xml:space="preserve">Surveyor-wise disposal for each taluk in the 3 divisions</t>
  </si>
  <si>
    <t xml:space="preserve">Name, designation, OPT Rural/Natham, FL Rural/Natham, Aug-26 total</t>
  </si>
  <si>
    <t xml:space="preserve">Sep-26 total, Change, Total row, Average row, No. of surveyors</t>
  </si>
  <si>
    <t xml:space="preserve">urban</t>
  </si>
  <si>
    <t xml:space="preserve">Urban surveyor-wise disposal</t>
  </si>
  <si>
    <t xml:space="preserve">Taluk, town, name, ISD / NISD / FL disposal, Aug-26 total</t>
  </si>
  <si>
    <t xml:space="preserve">Sep-26 total, Change, taluk subtotals</t>
  </si>
  <si>
    <t xml:space="preserve">abstract</t>
  </si>
  <si>
    <t xml:space="preserve">Surveyor performance by taluk, Sep vs Aug</t>
  </si>
  <si>
    <t xml:space="preserve">Nothing (taluk names only)</t>
  </si>
  <si>
    <t xml:space="preserve">Disposal = division Total row + urban surveyors of that taluk; averages; change</t>
  </si>
  <si>
    <t xml:space="preserve">Checks</t>
  </si>
  <si>
    <t xml:space="preserve">Confirms the typed figures agree with each other</t>
  </si>
  <si>
    <t xml:space="preserve">Nothing</t>
  </si>
  <si>
    <t xml:space="preserve">OK / CHECK for every sheet, total number of issues</t>
  </si>
  <si>
    <t xml:space="preserve">Calc</t>
  </si>
  <si>
    <t xml:space="preserve">Helper tables used by the Dashboard (grey tab)</t>
  </si>
  <si>
    <t xml:space="preserve">Taluk list A15:A24 only (if a new taluk is added)</t>
  </si>
  <si>
    <t xml:space="preserve">Stream totals, taluk totals, sort keys, village lists</t>
  </si>
  <si>
    <t xml:space="preserve">3.  The formulas</t>
  </si>
  <si>
    <t xml:space="preserve">Figure</t>
  </si>
  <si>
    <t xml:space="preserve">Formula used</t>
  </si>
  <si>
    <t xml:space="preserve">Example (as written in the sheet)</t>
  </si>
  <si>
    <t xml:space="preserve">Notes</t>
  </si>
  <si>
    <t xml:space="preserve">Opening + Received   (Natham sheets: − Transferred)</t>
  </si>
  <si>
    <t xml:space="preserve">=C5+D5</t>
  </si>
  <si>
    <t xml:space="preserve">Transferred is applications sent out, so it is subtracted.</t>
  </si>
  <si>
    <t xml:space="preserve">Approved + Rejected</t>
  </si>
  <si>
    <t xml:space="preserve">=F5+H5</t>
  </si>
  <si>
    <t xml:space="preserve">Called Accepted in the F-Line sheets.</t>
  </si>
  <si>
    <t xml:space="preserve">Approved % / Rejected %</t>
  </si>
  <si>
    <t xml:space="preserve">Approved ÷ Disposed,  Rejected ÷ Disposed</t>
  </si>
  <si>
    <t xml:space="preserve">=IFERROR(F5/J5,0)</t>
  </si>
  <si>
    <t xml:space="preserve">Shows 0% instead of an error if nothing is disposed. The two always add to 100%.</t>
  </si>
  <si>
    <t xml:space="preserve">Total − Disposed</t>
  </si>
  <si>
    <t xml:space="preserve">=E5-J5</t>
  </si>
  <si>
    <t xml:space="preserve">Never typed, so it can never disagree with Total and Disposed.</t>
  </si>
  <si>
    <t xml:space="preserve">Pending beyond limit</t>
  </si>
  <si>
    <t xml:space="preserve">Sum of every breakup column after the first</t>
  </si>
  <si>
    <t xml:space="preserve">=SUM(M5:N5)</t>
  </si>
  <si>
    <t xml:space="preserve">Limit: 15 days for NISD, 1 month for ISD and F-Line.</t>
  </si>
  <si>
    <t xml:space="preserve">Check</t>
  </si>
  <si>
    <t xml:space="preserve">Pending − sum of pending breakup</t>
  </si>
  <si>
    <t xml:space="preserve">=K5-SUM(L5:N5)</t>
  </si>
  <si>
    <t xml:space="preserve">Must be 0. Anything else turns red and is counted on the Checks sheet.</t>
  </si>
  <si>
    <t xml:space="preserve">Total row</t>
  </si>
  <si>
    <t xml:space="preserve">Sum from the first data row to the row just above the Total row</t>
  </si>
  <si>
    <t xml:space="preserve">=SUM(C5:INDEX(C:C,ROW()-1))</t>
  </si>
  <si>
    <t xml:space="preserve">Any row you insert above Total is included automatically.</t>
  </si>
  <si>
    <t xml:space="preserve">Surveyor Sep-26 total</t>
  </si>
  <si>
    <t xml:space="preserve">OPT Rural + OPT Natham + FL Rural + FL Natham</t>
  </si>
  <si>
    <t xml:space="preserve">=SUM(E4:H4)  (cud -div)</t>
  </si>
  <si>
    <t xml:space="preserve">Change = Sep-26 − Aug-26.</t>
  </si>
  <si>
    <t xml:space="preserve">Surveyor average</t>
  </si>
  <si>
    <t xml:space="preserve">Taluk total ÷ number of surveyors</t>
  </si>
  <si>
    <t xml:space="preserve">=IFERROR(I11/$L11,0)</t>
  </si>
  <si>
    <t xml:space="preserve">No. of surveyors is counted automatically from the name column.</t>
  </si>
  <si>
    <t xml:space="preserve">Abstract disposal</t>
  </si>
  <si>
    <t xml:space="preserve">Division Total row + urban surveyors with the same taluk name</t>
  </si>
  <si>
    <t xml:space="preserve">='cud -div'!I11+SUMIF(urban!$B:$B,$B5,urban!$I:$I)</t>
  </si>
  <si>
    <t xml:space="preserve">Average = disposal ÷ (division surveyors + urban surveyors).</t>
  </si>
  <si>
    <t xml:space="preserve">4.  How the Dashboard works</t>
  </si>
  <si>
    <t xml:space="preserve">Part</t>
  </si>
  <si>
    <t xml:space="preserve">What it shows</t>
  </si>
  <si>
    <t xml:space="preserve">How it is calculated</t>
  </si>
  <si>
    <t xml:space="preserve">Headline figures</t>
  </si>
  <si>
    <t xml:space="preserve">Applications handled, % disposed, pending, pending beyond time limit</t>
  </si>
  <si>
    <t xml:space="preserve">Sum of the Total rows of all 9 application sheets (via the Calc sheet)</t>
  </si>
  <si>
    <t xml:space="preserve">1. Disposal by stream</t>
  </si>
  <si>
    <t xml:space="preserve">The 9 streams (NISD / ISD / F-Line × Rural / Natham / Urban), worst first</t>
  </si>
  <si>
    <t xml:space="preserve">Disposed ÷ Total from each sheet's Total row; re-sorted automatically with SMALL / INDEX / MATCH. Blue bar = disposal %</t>
  </si>
  <si>
    <t xml:space="preserve">2. Taluk heat table</t>
  </si>
  <si>
    <t xml:space="preserve">Disposal % for each taluk in each Rural / Natham stream; taluks ranked by pending %</t>
  </si>
  <si>
    <t xml:space="preserve">SUMIF by taluk name on each sheet. Green = 75% or more disposed, amber = 50 to 75%, red = below 50%. Pending %: green up to 25%, amber to 50%, red above</t>
  </si>
  <si>
    <t xml:space="preserve">3. Sep vs Aug</t>
  </si>
  <si>
    <t xml:space="preserve">Surveyor disposal per taluk, highest first, with change</t>
  </si>
  <si>
    <t xml:space="preserve">Taken from the abstract sheet. ▲ green = increase, ▼ red = decrease</t>
  </si>
  <si>
    <t xml:space="preserve">4. Pending ageing</t>
  </si>
  <si>
    <t xml:space="preserve">Pending within vs beyond the time limit for each stream</t>
  </si>
  <si>
    <t xml:space="preserve">First breakup column = within limit; all later columns = beyond limit</t>
  </si>
  <si>
    <t xml:space="preserve">Top 8 villages for the category chosen in the yellow cell P24</t>
  </si>
  <si>
    <t xml:space="preserve">Reads all 50 villages of the chosen TOP 5 sheet and ranks them by count</t>
  </si>
  <si>
    <t xml:space="preserve">Key points</t>
  </si>
  <si>
    <t xml:space="preserve">Six sentences that rewrite themselves</t>
  </si>
  <si>
    <t xml:space="preserve">Text formulas that join the latest figures; the last line shows the Checks result</t>
  </si>
  <si>
    <t xml:space="preserve">Charts</t>
  </si>
  <si>
    <t xml:space="preserve">4 bar charts below the tables</t>
  </si>
  <si>
    <t xml:space="preserve">Linked to the Dashboard tables, so they redraw when figures change</t>
  </si>
  <si>
    <t xml:space="preserve">5.  Updating for a new month</t>
  </si>
  <si>
    <t xml:space="preserve">1.  Save a copy of this file under the new month's name.</t>
  </si>
  <si>
    <t xml:space="preserve">2.  In each application sheet, type the new Opening balance, Received, Transferred (Natham), Approved / Accepted, Rejected and the pending breakup (blue cells only).</t>
  </si>
  <si>
    <t xml:space="preserve">3.  In the TOP 5 VILLAGES sheets, type the new village names and counts in the same 5-per-taluk layout.</t>
  </si>
  <si>
    <t xml:space="preserve">4.  In cud -div, cdm-div, vdm-div and urban, type each surveyor's disposals and the previous month's total (Aug column).</t>
  </si>
  <si>
    <t xml:space="preserve">5.  Update the period text in row 1-2 of each sheet and on the Dashboard (cell O2).</t>
  </si>
  <si>
    <t xml:space="preserve">6.  Open the Checks sheet: every line should say OK. If one says CHECK, the typed pending breakup or surveyor/VAO split does not agree; correct it.</t>
  </si>
  <si>
    <t xml:space="preserve">7.  The Dashboard, abstract and charts are already up to date; print the Dashboard (A3 landscape is set).</t>
  </si>
  <si>
    <t xml:space="preserve">6.  Adding a new taluk, town or surveyor</t>
  </si>
  <si>
    <t xml:space="preserve">•  Insert a new row just ABOVE the Total row of that table (right-click the Total row → Insert), copy the row above it into the new row, then type the new data over the blue cells.</t>
  </si>
  <si>
    <t xml:space="preserve">•  Totals, averages, No. of surveyors, the abstract and the Dashboard include the new row automatically.</t>
  </si>
  <si>
    <t xml:space="preserve">•  A brand-new taluk: also add its name to the taluk list on the Calc sheet (insert a row inside A15:A24) so it appears in the Dashboard heat table. Spell it exactly as in the data sheets.</t>
  </si>
  <si>
    <t xml:space="preserve">•  Urban surveyors: write the Taluk name on every surveyor row; the abstract matches urban disposal to each taluk by that name.</t>
  </si>
  <si>
    <t xml:space="preserve">•  Do not rename sheets or move the Total rows to another sheet; the Dashboard looks for them by sheet name.</t>
  </si>
  <si>
    <t xml:space="preserve">7.  Data checks and corrections</t>
  </si>
  <si>
    <t xml:space="preserve">•  The Checks sheet tests every application sheet (pending = pending breakup) and the ISD surveyor / VAO split (surveyor + VAO = district). The Dashboard's last key point shows the result.</t>
  </si>
  <si>
    <t xml:space="preserve">•  Currently 1 CHECK: NISD RURAL, Bhuvanagiri. 136 applications are pending but the breakup totals 125 (typed in the original report). Correct the breakup (e.g. Below 15 days = 136) and it turns OK.</t>
  </si>
  <si>
    <t xml:space="preserve">•  Columns added compared with the original: Pending beyond limit, Check, Change (Sep − Aug), No. of surveyors. Urban taluk names are written on every row.</t>
  </si>
  <si>
    <t xml:space="preserve">8.  Why some figures differ from the original report</t>
  </si>
  <si>
    <t xml:space="preserve">In the original report these figures were typed by hand. Here they are calculated from the counts, so a typing or rounding slip cannot happen. Every other figure is exactly the same as in the original report.</t>
  </si>
  <si>
    <t xml:space="preserve">Original report</t>
  </si>
  <si>
    <t xml:space="preserve">This workbook</t>
  </si>
  <si>
    <t xml:space="preserve">Why it is different</t>
  </si>
  <si>
    <t xml:space="preserve">URBAN NISD – Chidambaram rejected %</t>
  </si>
  <si>
    <t xml:space="preserve">5.00%</t>
  </si>
  <si>
    <t xml:space="preserve">13.58%</t>
  </si>
  <si>
    <t xml:space="preserve">11 rejected out of 81 disposed = 13.58%. Approved % in the same row is 86.42%, and approved % + rejected % must add to 100%; 86.42% + 5.00% does not.</t>
  </si>
  <si>
    <t xml:space="preserve">NATHAM FL – Cuddalore rejected %</t>
  </si>
  <si>
    <t xml:space="preserve">12.00%</t>
  </si>
  <si>
    <t xml:space="preserve">11.43%</t>
  </si>
  <si>
    <t xml:space="preserve">8 rejected out of 70 disposed = 11.43%. Accepted % is 88.57%; 88.57% + 12.00% = 100.57%, which is not possible.</t>
  </si>
  <si>
    <t xml:space="preserve">URBAN FL – rejected %</t>
  </si>
  <si>
    <t xml:space="preserve">Cuddalore 6.00%, Panruti 7.00%, Virudhachalam 6.00%</t>
  </si>
  <si>
    <t xml:space="preserve">6.25%, 7.14%, 6.45%</t>
  </si>
  <si>
    <t xml:space="preserve">The original values were rounded when typed: 1 ÷ 16 = 6.25%, 1 ÷ 14 = 7.14%, 2 ÷ 31 = 6.45%.</t>
  </si>
  <si>
    <t xml:space="preserve">Bhuvanagiri – Sep-26 average per surveyor</t>
  </si>
  <si>
    <t xml:space="preserve">106</t>
  </si>
  <si>
    <t xml:space="preserve">107.4 (shows 107)</t>
  </si>
  <si>
    <t xml:space="preserve">537 disposals ÷ 5 surveyors = 107.4. The typed 106 does not match the sheet's own total.</t>
  </si>
  <si>
    <t xml:space="preserve">Kurinjipadi – Sep-26 average per surveyor</t>
  </si>
  <si>
    <t xml:space="preserve">68</t>
  </si>
  <si>
    <t xml:space="preserve">68.6 (shows 69)</t>
  </si>
  <si>
    <t xml:space="preserve">755 ÷ 11 surveyors = 68.6. The original cut off the decimal (68) instead of rounding; the other taluks were rounded normally.</t>
  </si>
  <si>
    <t xml:space="preserve">NISD RURAL – Total of 'Below 15 days'</t>
  </si>
  <si>
    <t xml:space="preserve">1,444</t>
  </si>
  <si>
    <t xml:space="preserve">1,433</t>
  </si>
  <si>
    <t xml:space="preserve">The original Total row was typed, not added up. Bhuvanagiri's row shows 125 but it has 136 pending (125 + 0 + 0 ≠ 136). 1,444 is correct only if Bhuvanagiri is 136; adding the 10 rows as typed gives 1,433. Fix Bhuvanagiri to 136 and the Total becomes 1,444 and the CHECK clears.</t>
  </si>
  <si>
    <t xml:space="preserve">NISD - RURAL  REPORT WITH PERCENTAGE</t>
  </si>
  <si>
    <t xml:space="preserve">Periodicity:Date Range TRANSACTIONS FROM :  01-09-2026 - TO :30-09-2026 *</t>
  </si>
  <si>
    <t xml:space="preserve">S.No</t>
  </si>
  <si>
    <t xml:space="preserve">Opening balance as on 01.09.2026</t>
  </si>
  <si>
    <t xml:space="preserve">Received</t>
  </si>
  <si>
    <t xml:space="preserve">Pending breakup</t>
  </si>
  <si>
    <t xml:space="preserve">Check: pending − breakup (should be 0)</t>
  </si>
  <si>
    <t xml:space="preserve">Approved</t>
  </si>
  <si>
    <t xml:space="preserve">%</t>
  </si>
  <si>
    <t xml:space="preserve">Rejected</t>
  </si>
  <si>
    <t xml:space="preserve">Total disposed</t>
  </si>
  <si>
    <t xml:space="preserve">Below 15 days</t>
  </si>
  <si>
    <t xml:space="preserve">Over 15 days</t>
  </si>
  <si>
    <t xml:space="preserve">Over 1 month</t>
  </si>
  <si>
    <t xml:space="preserve">Bhuvanagiri</t>
  </si>
  <si>
    <t xml:space="preserve">Chidambaram</t>
  </si>
  <si>
    <t xml:space="preserve">Cuddalore</t>
  </si>
  <si>
    <t xml:space="preserve">Kattumannarkoil</t>
  </si>
  <si>
    <t xml:space="preserve">Kurinjipadi</t>
  </si>
  <si>
    <t xml:space="preserve">Panruti</t>
  </si>
  <si>
    <t xml:space="preserve">Srimushnam</t>
  </si>
  <si>
    <t xml:space="preserve">Titagudi</t>
  </si>
  <si>
    <t xml:space="preserve">Veppur</t>
  </si>
  <si>
    <t xml:space="preserve">Vridhachalam</t>
  </si>
  <si>
    <t xml:space="preserve">Blue = typed data (edit these). Black = formula (do not type over). To add a taluk/town: insert a row ABOVE the Total row and copy the row above it; totals, checks and the Dashboard update automatically.</t>
  </si>
  <si>
    <t xml:space="preserve">TALUK WISE TOP 5 VAO VILLAGE  REJECTION COUNT(NISD - RURAL) 01.09.2026 TO 30.09.2026</t>
  </si>
  <si>
    <t xml:space="preserve">Village name</t>
  </si>
  <si>
    <t xml:space="preserve">Rejection count</t>
  </si>
  <si>
    <t xml:space="preserve">BHUVANAGIRI</t>
  </si>
  <si>
    <t xml:space="preserve">PINNALUR</t>
  </si>
  <si>
    <t xml:space="preserve">VRIDHACHALAM</t>
  </si>
  <si>
    <t xml:space="preserve">ERUMANR</t>
  </si>
  <si>
    <t xml:space="preserve">ARIYAKOSTI</t>
  </si>
  <si>
    <t xml:space="preserve">MUTHANAI</t>
  </si>
  <si>
    <t xml:space="preserve">MANJAKUZHI</t>
  </si>
  <si>
    <t xml:space="preserve">PERIYAVADAVADI</t>
  </si>
  <si>
    <t xml:space="preserve">AGARAM</t>
  </si>
  <si>
    <t xml:space="preserve">AMMERI</t>
  </si>
  <si>
    <t xml:space="preserve">MIRALUR</t>
  </si>
  <si>
    <t xml:space="preserve">ARASAKUZHI</t>
  </si>
  <si>
    <t xml:space="preserve">CHIDAMBARAM</t>
  </si>
  <si>
    <t xml:space="preserve">KEEZHANUVAMPATTU</t>
  </si>
  <si>
    <t xml:space="preserve">VEPPUR</t>
  </si>
  <si>
    <t xml:space="preserve">IVATHUKUDI</t>
  </si>
  <si>
    <t xml:space="preserve">B.MADUVANKARI</t>
  </si>
  <si>
    <t xml:space="preserve">JA.ENDHAL</t>
  </si>
  <si>
    <t xml:space="preserve">MEDHIKUDI</t>
  </si>
  <si>
    <t xml:space="preserve">K.KOTHANUR</t>
  </si>
  <si>
    <t xml:space="preserve">USUPUR</t>
  </si>
  <si>
    <t xml:space="preserve">THIRUPAYAR</t>
  </si>
  <si>
    <t xml:space="preserve">UTHAMANCHOZHAMANGALAM</t>
  </si>
  <si>
    <t xml:space="preserve">ORANGUR</t>
  </si>
  <si>
    <t xml:space="preserve">CUDDALORE</t>
  </si>
  <si>
    <t xml:space="preserve">KOTHANDARAMPURAM</t>
  </si>
  <si>
    <t xml:space="preserve">TITAKUDI</t>
  </si>
  <si>
    <t xml:space="preserve">PENNADAM</t>
  </si>
  <si>
    <t xml:space="preserve">VELLAKARAI</t>
  </si>
  <si>
    <t xml:space="preserve">ERAIYUR</t>
  </si>
  <si>
    <t xml:space="preserve">THIRUVANDHIPURAM</t>
  </si>
  <si>
    <t xml:space="preserve">VENKARUMBUR</t>
  </si>
  <si>
    <t xml:space="preserve">KONDUR</t>
  </si>
  <si>
    <t xml:space="preserve">IRULAMPATTU</t>
  </si>
  <si>
    <t xml:space="preserve">ARISIPERIYANKUPPAM</t>
  </si>
  <si>
    <t xml:space="preserve">THOZHTHUR</t>
  </si>
  <si>
    <t xml:space="preserve">PANRUTI</t>
  </si>
  <si>
    <t xml:space="preserve">VEGAKOLLAI</t>
  </si>
  <si>
    <t xml:space="preserve">KATTUMANNARKOIL</t>
  </si>
  <si>
    <t xml:space="preserve">KUNAVASAL</t>
  </si>
  <si>
    <t xml:space="preserve">VALLAM</t>
  </si>
  <si>
    <t xml:space="preserve">KARUNAKARANALLUR</t>
  </si>
  <si>
    <t xml:space="preserve">MELMAMPATTU</t>
  </si>
  <si>
    <t xml:space="preserve">KURUNKUDI</t>
  </si>
  <si>
    <t xml:space="preserve">MARUNGUR</t>
  </si>
  <si>
    <t xml:space="preserve">MELPAKATHURAI</t>
  </si>
  <si>
    <t xml:space="preserve">SILAMBIANATHAPETTAI</t>
  </si>
  <si>
    <t xml:space="preserve">VEERANATHAPURAM</t>
  </si>
  <si>
    <t xml:space="preserve">KURINJIPADI</t>
  </si>
  <si>
    <t xml:space="preserve">VADAKUTHU</t>
  </si>
  <si>
    <t xml:space="preserve">SRIMUSHNAM</t>
  </si>
  <si>
    <t xml:space="preserve">KAVANOOR</t>
  </si>
  <si>
    <t xml:space="preserve">PARVATHIPURAM</t>
  </si>
  <si>
    <t xml:space="preserve">KEEZHUR</t>
  </si>
  <si>
    <t xml:space="preserve">NAGARAPPADI</t>
  </si>
  <si>
    <t xml:space="preserve">VAZHUTHALAMPATTU</t>
  </si>
  <si>
    <t xml:space="preserve">VALLIYAM</t>
  </si>
  <si>
    <t xml:space="preserve">PEIYAKKANATHAM</t>
  </si>
  <si>
    <t xml:space="preserve">SRINEDUCHERRY</t>
  </si>
  <si>
    <t xml:space="preserve">Blue = typed data. Keep the same layout (5 villages per taluk, taluk name on the first row of each block); the Dashboard's top-villages list reads rows 3 to 27.</t>
  </si>
  <si>
    <t xml:space="preserve">NATHAM NISD OPT Report - 01-10-2026</t>
  </si>
  <si>
    <t xml:space="preserve">NO. OF Not Involving Subdivision APPLICATION FROM :  01-09-2026 - TO : 30-09-2026 *</t>
  </si>
  <si>
    <t xml:space="preserve">Transferred (out)</t>
  </si>
  <si>
    <t xml:space="preserve">TALUK WISE TOP 5  VAO VILLAGE  REJECTION COUNT(NISD -NATHAM) 01.09.2026 TO 30.09.2026</t>
  </si>
  <si>
    <t xml:space="preserve">Parangipettai</t>
  </si>
  <si>
    <t xml:space="preserve">Puliyur</t>
  </si>
  <si>
    <t xml:space="preserve">Periyapattu</t>
  </si>
  <si>
    <t xml:space="preserve">Karuveppilankurichi</t>
  </si>
  <si>
    <t xml:space="preserve">Manjakuzhi</t>
  </si>
  <si>
    <t xml:space="preserve">Komangalam</t>
  </si>
  <si>
    <t xml:space="preserve">Poovalai West</t>
  </si>
  <si>
    <t xml:space="preserve">Kottumunai</t>
  </si>
  <si>
    <t xml:space="preserve">Ariyakoshti</t>
  </si>
  <si>
    <t xml:space="preserve">Mangalam Ko</t>
  </si>
  <si>
    <t xml:space="preserve">Usupur</t>
  </si>
  <si>
    <t xml:space="preserve">Ja.Endhal</t>
  </si>
  <si>
    <t xml:space="preserve">Mugaiyur</t>
  </si>
  <si>
    <t xml:space="preserve">Sirupakkam</t>
  </si>
  <si>
    <t xml:space="preserve">B.Maduvankarai</t>
  </si>
  <si>
    <t xml:space="preserve">Sirunesalur</t>
  </si>
  <si>
    <t xml:space="preserve">C.Thandeawaranallur</t>
  </si>
  <si>
    <t xml:space="preserve">Mangalur</t>
  </si>
  <si>
    <t xml:space="preserve">Keezhnatham</t>
  </si>
  <si>
    <t xml:space="preserve">Nagar</t>
  </si>
  <si>
    <t xml:space="preserve">Karamanikuppam</t>
  </si>
  <si>
    <t xml:space="preserve">Venkarumbur</t>
  </si>
  <si>
    <t xml:space="preserve">Ramapuram</t>
  </si>
  <si>
    <t xml:space="preserve">Leckur</t>
  </si>
  <si>
    <t xml:space="preserve">Naduveerapattu</t>
  </si>
  <si>
    <t xml:space="preserve">Pennadam</t>
  </si>
  <si>
    <t xml:space="preserve">Mathalapatti</t>
  </si>
  <si>
    <t xml:space="preserve">pattur</t>
  </si>
  <si>
    <t xml:space="preserve">Vellakarai</t>
  </si>
  <si>
    <t xml:space="preserve">Pasar</t>
  </si>
  <si>
    <t xml:space="preserve">Vallam</t>
  </si>
  <si>
    <t xml:space="preserve">Lalpeetai</t>
  </si>
  <si>
    <t xml:space="preserve">Nadukuppam</t>
  </si>
  <si>
    <t xml:space="preserve">Rayanallur</t>
  </si>
  <si>
    <t xml:space="preserve">Visur</t>
  </si>
  <si>
    <t xml:space="preserve">Mannarkudi</t>
  </si>
  <si>
    <t xml:space="preserve">Vegakollai</t>
  </si>
  <si>
    <t xml:space="preserve">Chettithangal</t>
  </si>
  <si>
    <t xml:space="preserve">Kilkangayankuppam</t>
  </si>
  <si>
    <t xml:space="preserve">Udiyakudi</t>
  </si>
  <si>
    <t xml:space="preserve">Parvathipuram</t>
  </si>
  <si>
    <t xml:space="preserve">Kavanoor</t>
  </si>
  <si>
    <t xml:space="preserve">Ambalavananpettai</t>
  </si>
  <si>
    <t xml:space="preserve">Devangudi</t>
  </si>
  <si>
    <t xml:space="preserve">Ellapenpettai</t>
  </si>
  <si>
    <t xml:space="preserve">Srivakkaramari</t>
  </si>
  <si>
    <t xml:space="preserve">Kundiyamallur North</t>
  </si>
  <si>
    <t xml:space="preserve">Srineduncherry</t>
  </si>
  <si>
    <t xml:space="preserve">AdurAgram</t>
  </si>
  <si>
    <t xml:space="preserve">Cuddalore  District  URBAN NISD Application Progress  (01.09.2026 to 30.09.2026)</t>
  </si>
  <si>
    <t xml:space="preserve">S
No. Taluk Town Opening Balance Receipt Total Disposed Pending &lt; 15 Days &gt; 15 Days Over 1 Month</t>
  </si>
  <si>
    <t xml:space="preserve">Town</t>
  </si>
  <si>
    <t xml:space="preserve">Opening balance</t>
  </si>
  <si>
    <t xml:space="preserve">&lt; 15 days</t>
  </si>
  <si>
    <t xml:space="preserve">&gt; 15 days</t>
  </si>
  <si>
    <t xml:space="preserve">Nellikuppam</t>
  </si>
  <si>
    <t xml:space="preserve">Virudhachalam</t>
  </si>
  <si>
    <t xml:space="preserve">District Wise Total</t>
  </si>
  <si>
    <t xml:space="preserve">RURAL ISD REPORT WITH PERCENTAGE AS ON : 01-10-2026</t>
  </si>
  <si>
    <t xml:space="preserve">Periodicity : Date Range TRANSACTIONS FROM : 01-09-2026 - TO :30-09-2026 *</t>
  </si>
  <si>
    <t xml:space="preserve">Division</t>
  </si>
  <si>
    <t xml:space="preserve">Opening balance on 01.09.2026</t>
  </si>
  <si>
    <t xml:space="preserve">Below 1 month</t>
  </si>
  <si>
    <t xml:space="preserve">Over 2 months</t>
  </si>
  <si>
    <t xml:space="preserve">TALUK WISE TOP 5 VAO VILLAGE  REJECTION COUNT(ISD - RURAL) 01.09.2026 to 30.09.2026</t>
  </si>
  <si>
    <t xml:space="preserve">ARIYAKOSHTI</t>
  </si>
  <si>
    <t xml:space="preserve">KAMMAPURAM</t>
  </si>
  <si>
    <t xml:space="preserve">KARKUDAL</t>
  </si>
  <si>
    <t xml:space="preserve">SATHAPPADI</t>
  </si>
  <si>
    <t xml:space="preserve">EDAIYUR</t>
  </si>
  <si>
    <t xml:space="preserve">SETHIYATHOPE</t>
  </si>
  <si>
    <t xml:space="preserve">CHINNAPARUR</t>
  </si>
  <si>
    <t xml:space="preserve">VADAKRISHNAPURAM</t>
  </si>
  <si>
    <t xml:space="preserve">M.AGARAM</t>
  </si>
  <si>
    <t xml:space="preserve">C.KOTHANKUDI</t>
  </si>
  <si>
    <t xml:space="preserve">NAGAR</t>
  </si>
  <si>
    <t xml:space="preserve">PARAMESHVARANALLUR</t>
  </si>
  <si>
    <t xml:space="preserve">SEPPAKKAM</t>
  </si>
  <si>
    <t xml:space="preserve">LALPURAM</t>
  </si>
  <si>
    <t xml:space="preserve">SIRUNASALUR</t>
  </si>
  <si>
    <t xml:space="preserve">MTIKUDI</t>
  </si>
  <si>
    <t xml:space="preserve">PODAIYUR</t>
  </si>
  <si>
    <t xml:space="preserve">USUPPUR</t>
  </si>
  <si>
    <t xml:space="preserve">IVADHUKUDI</t>
  </si>
  <si>
    <t xml:space="preserve">THOZHUTUR</t>
  </si>
  <si>
    <t xml:space="preserve">NATHAPATTU</t>
  </si>
  <si>
    <t xml:space="preserve">MALIGAIKOTTAM</t>
  </si>
  <si>
    <t xml:space="preserve">NADUVEERAPATTU</t>
  </si>
  <si>
    <t xml:space="preserve">M.PUDAIYUR</t>
  </si>
  <si>
    <t xml:space="preserve">PACHAIYANKUPPAM</t>
  </si>
  <si>
    <t xml:space="preserve">RAMANATHAM</t>
  </si>
  <si>
    <t xml:space="preserve">SEDDAPALAYAM</t>
  </si>
  <si>
    <t xml:space="preserve">THACHUR</t>
  </si>
  <si>
    <t xml:space="preserve">LALPETTAI</t>
  </si>
  <si>
    <t xml:space="preserve">MALIGAMPATTU</t>
  </si>
  <si>
    <t xml:space="preserve">MELAPAKKATHURAI</t>
  </si>
  <si>
    <t xml:space="preserve">SILAMBINATHANPETTAI</t>
  </si>
  <si>
    <t xml:space="preserve">THIRUMOOLASTHANAM</t>
  </si>
  <si>
    <t xml:space="preserve">KUPPAPILLAICHAVADI</t>
  </si>
  <si>
    <t xml:space="preserve">VEERANANALLUR</t>
  </si>
  <si>
    <t xml:space="preserve">CHOLATHARAM</t>
  </si>
  <si>
    <t xml:space="preserve">VAZUTHALAMPATTU</t>
  </si>
  <si>
    <t xml:space="preserve">MATHAKALIRMANIKAM</t>
  </si>
  <si>
    <t xml:space="preserve">SERAKUPPAM</t>
  </si>
  <si>
    <t xml:space="preserve">NANGUDI</t>
  </si>
  <si>
    <t xml:space="preserve">KANNADY</t>
  </si>
  <si>
    <t xml:space="preserve">PALAYAMKOTTIKEELPATHI</t>
  </si>
  <si>
    <t xml:space="preserve">RURAL ISD REPORT WITH PERCENTAGE AS ON : 01-10-2026  (surveyor vs VAO)</t>
  </si>
  <si>
    <t xml:space="preserve">Periodicity : Date Range TRANSACTIONS FROM : 01-09-2026 - TO : 30-09-2026 *</t>
  </si>
  <si>
    <t xml:space="preserve">District total (from ISD RURAL)</t>
  </si>
  <si>
    <t xml:space="preserve">Surveyor</t>
  </si>
  <si>
    <t xml:space="preserve">VAO</t>
  </si>
  <si>
    <t xml:space="preserve">Check: surveyor + VAO − district (should be 0)</t>
  </si>
  <si>
    <t xml:space="preserve">Green = pulled from ISD RURAL by taluk name. Blue = typed surveyor / VAO figures. % = share of total disposed. Check column must be 0.</t>
  </si>
  <si>
    <t xml:space="preserve">ISD NATHAM OPT - Report as on - 01.10.2026</t>
  </si>
  <si>
    <t xml:space="preserve">NO. OF Involving Subdivision APPLICATION FROM :  01-09-2026 - TO : 30-09-2026 *</t>
  </si>
  <si>
    <t xml:space="preserve">Over 3 months</t>
  </si>
  <si>
    <t xml:space="preserve">TALUK WISE TOP 5 VAO VILLAGE  REJECTION COUNT(ISD - NATHAM) 01.09.2026 to 30.09.2026</t>
  </si>
  <si>
    <t xml:space="preserve">PARANGIPETTAI</t>
  </si>
  <si>
    <t xml:space="preserve">UTHANGAL</t>
  </si>
  <si>
    <t xml:space="preserve">MANJAKOLLAI</t>
  </si>
  <si>
    <t xml:space="preserve">MANGALAM KO</t>
  </si>
  <si>
    <t xml:space="preserve">SILAMBIMANGALM</t>
  </si>
  <si>
    <t xml:space="preserve">M.PARUR</t>
  </si>
  <si>
    <t xml:space="preserve">MELBHUVANAGIRI</t>
  </si>
  <si>
    <t xml:space="preserve">C.MUTLUR</t>
  </si>
  <si>
    <t xml:space="preserve">KOVILANUR</t>
  </si>
  <si>
    <t xml:space="preserve">NAJAIMAGATHUVAZHKAI</t>
  </si>
  <si>
    <t xml:space="preserve">ILANGIYANUR</t>
  </si>
  <si>
    <t xml:space="preserve">C.THANDESWARANALLUR</t>
  </si>
  <si>
    <t xml:space="preserve">KATTUMAYILUR</t>
  </si>
  <si>
    <t xml:space="preserve">VASAPUTHUR</t>
  </si>
  <si>
    <t xml:space="preserve">VAIYUR</t>
  </si>
  <si>
    <t xml:space="preserve">ATHIYUR</t>
  </si>
  <si>
    <t xml:space="preserve">KANNAKUDI</t>
  </si>
  <si>
    <t xml:space="preserve">ELAMANGALAM</t>
  </si>
  <si>
    <t xml:space="preserve">ANNAVALLI</t>
  </si>
  <si>
    <t xml:space="preserve">KALLO0R</t>
  </si>
  <si>
    <t xml:space="preserve">PATHIRIKUPPAM</t>
  </si>
  <si>
    <t xml:space="preserve">RAMAPURAM</t>
  </si>
  <si>
    <t xml:space="preserve">BELANDURAI</t>
  </si>
  <si>
    <t xml:space="preserve">VISUR</t>
  </si>
  <si>
    <t xml:space="preserve">MANNARKUDI</t>
  </si>
  <si>
    <t xml:space="preserve">L.N.PURAM</t>
  </si>
  <si>
    <t xml:space="preserve">KANJANKOLLAI</t>
  </si>
  <si>
    <t xml:space="preserve">KADAMPULIYUR</t>
  </si>
  <si>
    <t xml:space="preserve">KILKANGEYANKUPPAM</t>
  </si>
  <si>
    <t xml:space="preserve">SIRUKATTUR</t>
  </si>
  <si>
    <t xml:space="preserve">PURANGANI</t>
  </si>
  <si>
    <t xml:space="preserve">KOTHAVASAL</t>
  </si>
  <si>
    <t xml:space="preserve">KORANAPATTU</t>
  </si>
  <si>
    <t xml:space="preserve">KALKUNAM</t>
  </si>
  <si>
    <t xml:space="preserve">AMBALAVANAPETTAI</t>
  </si>
  <si>
    <t xml:space="preserve">Cuddalore  District  URBAN ISD Application Progress (01.09.2026 to 30.09.2026)</t>
  </si>
  <si>
    <t xml:space="preserve">Period: 01.09.2026 to 30.09.2026</t>
  </si>
  <si>
    <t xml:space="preserve">&lt; 1 month</t>
  </si>
  <si>
    <t xml:space="preserve">&gt; 1 month</t>
  </si>
  <si>
    <t xml:space="preserve">F-Line Rural Summary Report From :  01-09-2026 - TO : 30-09-2026 *</t>
  </si>
  <si>
    <t xml:space="preserve">Opening balance as on 31.08.2026</t>
  </si>
  <si>
    <t xml:space="preserve">Accepted</t>
  </si>
  <si>
    <t xml:space="preserve">Less than 1 month</t>
  </si>
  <si>
    <t xml:space="preserve">Over 4 months</t>
  </si>
  <si>
    <t xml:space="preserve">Over 5 months</t>
  </si>
  <si>
    <t xml:space="preserve">F-Line Natham Summary Report From :   01-09-2026 - TO : 30-09-2026 *</t>
  </si>
  <si>
    <t xml:space="preserve">Cuddalore  District  URBAN F Line Application Progress  (01.09.2026 to 30.09.2026)</t>
  </si>
  <si>
    <t xml:space="preserve">Chidhambaram</t>
  </si>
  <si>
    <t xml:space="preserve">Viruthachalam</t>
  </si>
  <si>
    <t xml:space="preserve">District Total</t>
  </si>
  <si>
    <t xml:space="preserve">CUDDALORE TALUK  OPT(RURAL &amp; NATHAM)  FL (RURAL &amp;NATHAM) ,   01.09.2026 TO  30.09.2026</t>
  </si>
  <si>
    <t xml:space="preserve">Name</t>
  </si>
  <si>
    <t xml:space="preserve">Desg.</t>
  </si>
  <si>
    <t xml:space="preserve">OPT (disposal)</t>
  </si>
  <si>
    <t xml:space="preserve">FL (disposal)</t>
  </si>
  <si>
    <t xml:space="preserve">Total disposal in Sep-26</t>
  </si>
  <si>
    <t xml:space="preserve">Total disposal in Aug-26</t>
  </si>
  <si>
    <t xml:space="preserve">Change (Sep − Aug)</t>
  </si>
  <si>
    <t xml:space="preserve">No. of surveyors</t>
  </si>
  <si>
    <t xml:space="preserve">Rural</t>
  </si>
  <si>
    <t xml:space="preserve">Natham</t>
  </si>
  <si>
    <t xml:space="preserve">Bharathkumar</t>
  </si>
  <si>
    <t xml:space="preserve">FS</t>
  </si>
  <si>
    <t xml:space="preserve">Dhivagar</t>
  </si>
  <si>
    <t xml:space="preserve">Sindhuja</t>
  </si>
  <si>
    <t xml:space="preserve">SIS</t>
  </si>
  <si>
    <t xml:space="preserve">P.Balaji</t>
  </si>
  <si>
    <t xml:space="preserve">V.Sangeetha</t>
  </si>
  <si>
    <t xml:space="preserve">Nanthankumar</t>
  </si>
  <si>
    <t xml:space="preserve">Balasubramaniyan</t>
  </si>
  <si>
    <t xml:space="preserve">LS</t>
  </si>
  <si>
    <t xml:space="preserve">Average</t>
  </si>
  <si>
    <t xml:space="preserve">PANRUTI  TALUK  OPT(RURAL &amp; NATHAM)  FL (RURAL &amp;NATHAM) ,   01.09.2026 TO  30.09.2026</t>
  </si>
  <si>
    <t xml:space="preserve">Alamelumangai</t>
  </si>
  <si>
    <t xml:space="preserve">Kaviyarasan</t>
  </si>
  <si>
    <t xml:space="preserve">Vijayalakshmi</t>
  </si>
  <si>
    <t xml:space="preserve">Saravanan</t>
  </si>
  <si>
    <t xml:space="preserve">Sangeetha</t>
  </si>
  <si>
    <t xml:space="preserve">MFS</t>
  </si>
  <si>
    <t xml:space="preserve">Dharani</t>
  </si>
  <si>
    <t xml:space="preserve">Hariharan</t>
  </si>
  <si>
    <t xml:space="preserve">Vinoth</t>
  </si>
  <si>
    <t xml:space="preserve">KURINJIPADI    TALUK  OPT(RURAL &amp; NATHAM)  FL (RURAL &amp;NATHAM) ,   01.09.2026 TO  30.09.2026</t>
  </si>
  <si>
    <t xml:space="preserve">V.Surendher</t>
  </si>
  <si>
    <t xml:space="preserve">Pandian</t>
  </si>
  <si>
    <t xml:space="preserve">AshokKumar</t>
  </si>
  <si>
    <t xml:space="preserve">Siddharathan</t>
  </si>
  <si>
    <t xml:space="preserve">Anbukarasi</t>
  </si>
  <si>
    <t xml:space="preserve">Thirumalai</t>
  </si>
  <si>
    <t xml:space="preserve">Shakila</t>
  </si>
  <si>
    <t xml:space="preserve">Manikandan</t>
  </si>
  <si>
    <t xml:space="preserve">Rajkumar</t>
  </si>
  <si>
    <t xml:space="preserve">Blue = typed data. To add a surveyor: insert a row ABOVE the taluk's Total row and copy the row above; totals, averages, the abstract and the Dashboard update automatically.</t>
  </si>
  <si>
    <t xml:space="preserve">CHIDAMBARAM TALUK  OPT(RURAL &amp; NATHAM)  FL (RURAL &amp;NATHAM) ,   01.09.2026 TO  30.09.2026</t>
  </si>
  <si>
    <t xml:space="preserve">S.Gurumoorthi</t>
  </si>
  <si>
    <t xml:space="preserve">P.Rameshkumar</t>
  </si>
  <si>
    <t xml:space="preserve">A.Parthiban</t>
  </si>
  <si>
    <t xml:space="preserve">P.Narmadha</t>
  </si>
  <si>
    <t xml:space="preserve">Sudhersan</t>
  </si>
  <si>
    <t xml:space="preserve">P.Praveenkumar</t>
  </si>
  <si>
    <t xml:space="preserve">Maharajan</t>
  </si>
  <si>
    <t xml:space="preserve">M.Kalaivanan</t>
  </si>
  <si>
    <t xml:space="preserve">A.Vinostalin</t>
  </si>
  <si>
    <t xml:space="preserve">BHUVANAGIRI TALUK   OPT(RURAL &amp; NATHAM)  FL (RURAL &amp;NATHAM) ,   01.09.2026 TO  30.09.2026</t>
  </si>
  <si>
    <t xml:space="preserve">M.Sowmiya</t>
  </si>
  <si>
    <t xml:space="preserve">R.Raguaman</t>
  </si>
  <si>
    <t xml:space="preserve">M.Jesima</t>
  </si>
  <si>
    <t xml:space="preserve">S.Thirumaran</t>
  </si>
  <si>
    <t xml:space="preserve">G.suresh</t>
  </si>
  <si>
    <t xml:space="preserve">KATTUMANNARKOIL  TALUK   OPT(RURAL &amp; NATHAM)  FL (RURAL &amp;NATHAM) ,  01.09.2026 TO  30.09.2026</t>
  </si>
  <si>
    <t xml:space="preserve">Ambalavanan</t>
  </si>
  <si>
    <t xml:space="preserve">Balasundharam</t>
  </si>
  <si>
    <t xml:space="preserve">Mahavidya</t>
  </si>
  <si>
    <t xml:space="preserve">Parathaman</t>
  </si>
  <si>
    <t xml:space="preserve">Ramesh</t>
  </si>
  <si>
    <t xml:space="preserve">Meiyarasu</t>
  </si>
  <si>
    <t xml:space="preserve">SRIMUSHNAM  TALUK   OPT(RURAL &amp; NATHAM)  FL (RURAL &amp;NATHAM) ,   01.09.2026 TO  30.09.2026</t>
  </si>
  <si>
    <t xml:space="preserve">K.Natrajan</t>
  </si>
  <si>
    <t xml:space="preserve">K.Ramesh</t>
  </si>
  <si>
    <t xml:space="preserve">VIRUDHACHALAM TALUK OPT(RURAL &amp; NATHAM)  FL (RURAL &amp;NATHAM) ,   01.09.2026 TO  30.09.2026</t>
  </si>
  <si>
    <t xml:space="preserve">Loganathan</t>
  </si>
  <si>
    <t xml:space="preserve">Nethaji</t>
  </si>
  <si>
    <t xml:space="preserve">Rajkiran</t>
  </si>
  <si>
    <t xml:space="preserve">Bakiyaraj</t>
  </si>
  <si>
    <t xml:space="preserve">Murugan</t>
  </si>
  <si>
    <t xml:space="preserve">Ravidoss</t>
  </si>
  <si>
    <t xml:space="preserve">Sivakumar</t>
  </si>
  <si>
    <t xml:space="preserve">ArunPandiyan</t>
  </si>
  <si>
    <t xml:space="preserve">Pachaiyappan</t>
  </si>
  <si>
    <t xml:space="preserve">Abinaya</t>
  </si>
  <si>
    <t xml:space="preserve">TITAKUDI  TALUK OPT(RURAL &amp; NATHAM)  FL (RURAL &amp;NATHAM) ,   01.09.2026 TO  30.09.2026</t>
  </si>
  <si>
    <t xml:space="preserve">Titakudi</t>
  </si>
  <si>
    <t xml:space="preserve">J.Jagatheeswaran</t>
  </si>
  <si>
    <t xml:space="preserve">T.Narendirawarma</t>
  </si>
  <si>
    <t xml:space="preserve">V.Maheswaran</t>
  </si>
  <si>
    <t xml:space="preserve">D.Kalaiyarasan</t>
  </si>
  <si>
    <t xml:space="preserve">S.Murugan</t>
  </si>
  <si>
    <t xml:space="preserve">VEPPUR TALUK OPT(RURAL &amp; NATHAM)  FL (RURAL &amp;NATHAM) ,   01.09.2026 TO  30.09.2026</t>
  </si>
  <si>
    <t xml:space="preserve">Siva</t>
  </si>
  <si>
    <t xml:space="preserve">Anandavalli</t>
  </si>
  <si>
    <t xml:space="preserve">Subashchandrabose</t>
  </si>
  <si>
    <t xml:space="preserve">Dhivya</t>
  </si>
  <si>
    <t xml:space="preserve">Kesavan</t>
  </si>
  <si>
    <t xml:space="preserve">Seethalakshmi</t>
  </si>
  <si>
    <t xml:space="preserve">URBAN SURVEYOR WISE DISPOSAL 01.09.2026 TO 30.09.2026</t>
  </si>
  <si>
    <t xml:space="preserve">Surveyor name</t>
  </si>
  <si>
    <t xml:space="preserve">ISD (disposal)</t>
  </si>
  <si>
    <t xml:space="preserve">NISD (disposal)</t>
  </si>
  <si>
    <t xml:space="preserve">RAGUMAN</t>
  </si>
  <si>
    <t xml:space="preserve">SIDDANANTHA</t>
  </si>
  <si>
    <t xml:space="preserve">Cuddalore total</t>
  </si>
  <si>
    <t xml:space="preserve">PANEERSELVAM</t>
  </si>
  <si>
    <t xml:space="preserve">Nelikuppam</t>
  </si>
  <si>
    <t xml:space="preserve">THIRUMOORTHY</t>
  </si>
  <si>
    <t xml:space="preserve">Panruti total</t>
  </si>
  <si>
    <t xml:space="preserve">PREMKUMAR</t>
  </si>
  <si>
    <t xml:space="preserve">RAJMOHAN</t>
  </si>
  <si>
    <t xml:space="preserve">Blue = typed data. Taluk must be written on every surveyor row; the abstract adds urban disposal to each taluk by matching this Taluk column.</t>
  </si>
  <si>
    <t xml:space="preserve">SURVEYOR PERFORMANCE ABSTRACT</t>
  </si>
  <si>
    <t xml:space="preserve">Rural (division sheets) + urban surveyors, 01.09.2026 to 30.09.2026</t>
  </si>
  <si>
    <t xml:space="preserve">Rural &amp; urban disposal in September</t>
  </si>
  <si>
    <t xml:space="preserve">Average in September</t>
  </si>
  <si>
    <t xml:space="preserve">Rural &amp; urban disposal in August</t>
  </si>
  <si>
    <t xml:space="preserve">Average in August</t>
  </si>
  <si>
    <t xml:space="preserve">All figures are formulas: division sheet Total row + urban surveyors with the same taluk name. Average = disposal ÷ number of surveyors.</t>
  </si>
  <si>
    <t xml:space="preserve">DATA CHECKS</t>
  </si>
  <si>
    <t xml:space="preserve">Every check should show OK. A CHECK means the typed figures in that sheet do not agree with each other.</t>
  </si>
  <si>
    <t xml:space="preserve">What is checked</t>
  </si>
  <si>
    <t xml:space="preserve">Rows not agreeing</t>
  </si>
  <si>
    <t xml:space="preserve">Status</t>
  </si>
  <si>
    <t xml:space="preserve">NISD RURAL</t>
  </si>
  <si>
    <t xml:space="preserve">Pending = sum of pending breakup (per taluk / town)</t>
  </si>
  <si>
    <t xml:space="preserve">NISD NATHAM</t>
  </si>
  <si>
    <t xml:space="preserve">URBAN NISD</t>
  </si>
  <si>
    <t xml:space="preserve">ISD RURAL</t>
  </si>
  <si>
    <t xml:space="preserve">ISD NATHAM</t>
  </si>
  <si>
    <t xml:space="preserve">URBAN ISD</t>
  </si>
  <si>
    <t xml:space="preserve">RURAL FL</t>
  </si>
  <si>
    <t xml:space="preserve">NATHAM FL</t>
  </si>
  <si>
    <t xml:space="preserve">URBAN FL</t>
  </si>
  <si>
    <t xml:space="preserve">Surveyor + VAO = district approved and rejected</t>
  </si>
  <si>
    <t xml:space="preserve">How each source total is now calculated (so the old typing mistakes are corrected automatically):</t>
  </si>
  <si>
    <t xml:space="preserve">• Total = Opening + Received (Natham sheets: − Transferred).  Disposed = Approved + Rejected.  Pending = Total − Disposed.  % = Approved or Rejected ÷ Disposed.</t>
  </si>
  <si>
    <t xml:space="preserve">• In the original file: NISD Urban Chidambaram rejected % was typed 5.00% (correct 13.58%); F-Line Natham Cuddalore rejected % 12.00% (correct 11.43%);</t>
  </si>
  <si>
    <t xml:space="preserve">   F-Line Urban rejected % values were rounded; Bhuvanagiri Sep average was 106 (correct 107.4). These are now formulas.</t>
  </si>
  <si>
    <t xml:space="preserve">• Still to be corrected by you: NISD RURAL Bhuvanagiri pending breakup (below 15 days typed 125, but 136 are pending). It shows as CHECK above.</t>
  </si>
  <si>
    <t xml:space="preserve">Helper calculations for the Dashboard (do not edit)</t>
  </si>
  <si>
    <t xml:space="preserve">Sort key (worst first)</t>
  </si>
  <si>
    <t xml:space="preserve">Pending sort key</t>
  </si>
  <si>
    <t xml:space="preserve">NISD Urban</t>
  </si>
  <si>
    <t xml:space="preserve">ISD Urban</t>
  </si>
  <si>
    <t xml:space="preserve">F-Line Urban</t>
  </si>
  <si>
    <t xml:space="preserve">NISD Rural total</t>
  </si>
  <si>
    <t xml:space="preserve">NISD Rural disposed</t>
  </si>
  <si>
    <t xml:space="preserve">NISD Natham total</t>
  </si>
  <si>
    <t xml:space="preserve">NISD Natham disposed</t>
  </si>
  <si>
    <t xml:space="preserve">ISD Rural total</t>
  </si>
  <si>
    <t xml:space="preserve">ISD Rural disposed</t>
  </si>
  <si>
    <t xml:space="preserve">ISD Natham total</t>
  </si>
  <si>
    <t xml:space="preserve">ISD Natham disposed</t>
  </si>
  <si>
    <t xml:space="preserve">F-Line Rural total</t>
  </si>
  <si>
    <t xml:space="preserve">F-Line Rural disposed</t>
  </si>
  <si>
    <t xml:space="preserve">F-Line Natham total</t>
  </si>
  <si>
    <t xml:space="preserve">F-Line Natham disposed</t>
  </si>
  <si>
    <t xml:space="preserve">All total</t>
  </si>
  <si>
    <t xml:space="preserve">All pending</t>
  </si>
  <si>
    <t xml:space="preserve">Pending %</t>
  </si>
  <si>
    <t xml:space="preserve">Sort key</t>
  </si>
  <si>
    <t xml:space="preserve">NISD Rural %</t>
  </si>
  <si>
    <t xml:space="preserve">NISD Natham %</t>
  </si>
  <si>
    <t xml:space="preserve">ISD Rural %</t>
  </si>
  <si>
    <t xml:space="preserve">ISD Natham %</t>
  </si>
  <si>
    <t xml:space="preserve">F-Line Rural %</t>
  </si>
  <si>
    <t xml:space="preserve">F-Line Natham %</t>
  </si>
  <si>
    <t xml:space="preserve">Taluk names must match the Taluk column of the six Rural/Natham sheets. Add a new taluk here (blue) if one is added there.</t>
  </si>
  <si>
    <t xml:space="preserve">Sep</t>
  </si>
  <si>
    <t xml:space="preserve">Aug</t>
  </si>
  <si>
    <t xml:space="preserve">Top-village helper (50 villages per category; selected category comes from Dashboard)</t>
  </si>
  <si>
    <t xml:space="preserve">Taluk (NISD Rural)</t>
  </si>
  <si>
    <t xml:space="preserve">Count</t>
  </si>
  <si>
    <t xml:space="preserve">Key</t>
  </si>
  <si>
    <t xml:space="preserve">Taluk (NISD Natham)</t>
  </si>
  <si>
    <t xml:space="preserve">Taluk (ISD Rural)</t>
  </si>
  <si>
    <t xml:space="preserve">Taluk (ISD Natham)</t>
  </si>
  <si>
    <t xml:space="preserve">Sel taluk</t>
  </si>
  <si>
    <t xml:space="preserve">Sel village</t>
  </si>
  <si>
    <t xml:space="preserve">Sel count</t>
  </si>
  <si>
    <t xml:space="preserve">Sel key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</si>
</sst>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-#,##0;0"/>
    <numFmt numFmtId="166" formatCode="0%"/>
    <numFmt numFmtId="167" formatCode="0.0%"/>
    <numFmt numFmtId="168" formatCode="0"/>
    <numFmt numFmtId="169" formatCode="&quot;▲ &quot;0%;&quot;▼ &quot;0%;0%"/>
    <numFmt numFmtId="170" formatCode="0.00%"/>
    <numFmt numFmtId="171" formatCode="0.000000"/>
    <numFmt numFmtId="172" formatCode="0.00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C9D6E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D6B7A"/>
      <name val="Arial"/>
      <family val="0"/>
      <charset val="1"/>
    </font>
    <font>
      <b val="true"/>
      <sz val="22"/>
      <color rgb="FF14325C"/>
      <name val="Arial"/>
      <family val="0"/>
      <charset val="1"/>
    </font>
    <font>
      <b val="true"/>
      <sz val="22"/>
      <color rgb="FF2E8B57"/>
      <name val="Arial"/>
      <family val="0"/>
      <charset val="1"/>
    </font>
    <font>
      <b val="true"/>
      <sz val="22"/>
      <color rgb="FFA8750A"/>
      <name val="Arial"/>
      <family val="0"/>
      <charset val="1"/>
    </font>
    <font>
      <b val="true"/>
      <sz val="22"/>
      <color rgb="FFC8453B"/>
      <name val="Arial"/>
      <family val="0"/>
      <charset val="1"/>
    </font>
    <font>
      <sz val="9"/>
      <color rgb="FF5D6B7A"/>
      <name val="Arial"/>
      <family val="0"/>
      <charset val="1"/>
    </font>
    <font>
      <b val="true"/>
      <sz val="12"/>
      <color rgb="FF1432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D6B7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9.5"/>
      <color rgb="FF1D2733"/>
      <name val="Arial"/>
      <family val="0"/>
      <charset val="1"/>
    </font>
    <font>
      <sz val="9.5"/>
      <color rgb="FF1D2733"/>
      <name val="Arial"/>
      <family val="0"/>
      <charset val="1"/>
    </font>
    <font>
      <sz val="9.5"/>
      <color rgb="FF14325C"/>
      <name val="Consolas"/>
      <family val="0"/>
      <charset val="1"/>
    </font>
    <font>
      <sz val="10"/>
      <color rgb="FF1D2733"/>
      <name val="Arial"/>
      <family val="0"/>
      <charset val="1"/>
    </font>
    <font>
      <b val="true"/>
      <sz val="13"/>
      <color rgb="FF14325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1D27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325C"/>
        <bgColor rgb="FF1D2733"/>
      </patternFill>
    </fill>
    <fill>
      <patternFill patternType="solid">
        <fgColor rgb="FFF4F6F9"/>
        <bgColor rgb="FFF6F8FB"/>
      </patternFill>
    </fill>
    <fill>
      <patternFill patternType="solid">
        <fgColor rgb="FFF6F8FB"/>
        <bgColor rgb="FFF4F6F9"/>
      </patternFill>
    </fill>
    <fill>
      <patternFill patternType="solid">
        <fgColor rgb="FFE8EDF4"/>
        <bgColor rgb="FFF4F6F9"/>
      </patternFill>
    </fill>
    <fill>
      <patternFill patternType="solid">
        <fgColor rgb="FFFFFF00"/>
        <bgColor rgb="FFFFFF00"/>
      </patternFill>
    </fill>
    <fill>
      <patternFill patternType="solid">
        <fgColor rgb="FF2F4F7F"/>
        <bgColor rgb="FF14325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>
        <color rgb="FF14325C"/>
      </left>
      <right/>
      <top/>
      <bottom/>
      <diagonal/>
    </border>
    <border diagonalUp="false" diagonalDown="false">
      <left style="thick">
        <color rgb="FF2E8B57"/>
      </left>
      <right/>
      <top/>
      <bottom/>
      <diagonal/>
    </border>
    <border diagonalUp="false" diagonalDown="false">
      <left style="thick">
        <color rgb="FFA8750A"/>
      </left>
      <right/>
      <top/>
      <bottom/>
      <diagonal/>
    </border>
    <border diagonalUp="false" diagonalDown="false">
      <left style="thick">
        <color rgb="FFC8453B"/>
      </left>
      <right/>
      <top/>
      <bottom/>
      <diagonal/>
    </border>
    <border diagonalUp="false" diagonalDown="false">
      <left/>
      <right/>
      <top/>
      <bottom style="medium">
        <color rgb="FFD5DBE3"/>
      </bottom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 style="thin">
        <color rgb="FFD5DBE3"/>
      </right>
      <top style="medium">
        <color rgb="FF14325C"/>
      </top>
      <bottom style="thin">
        <color rgb="FFD5DBE3"/>
      </bottom>
      <diagonal/>
    </border>
    <border diagonalUp="false" diagonalDown="false">
      <left style="thin">
        <color rgb="FFD5DBE3"/>
      </left>
      <right/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8453B"/>
      </font>
    </dxf>
    <dxf>
      <font>
        <name val="Arial"/>
        <charset val="1"/>
        <family val="0"/>
        <b val="1"/>
        <color rgb="FFFFFFFF"/>
      </font>
      <fill>
        <patternFill>
          <bgColor rgb="FF2E8B57"/>
        </patternFill>
      </fill>
    </dxf>
    <dxf>
      <font>
        <name val="Arial"/>
        <charset val="1"/>
        <family val="0"/>
        <b val="1"/>
        <color rgb="FF1D2733"/>
      </font>
      <fill>
        <patternFill>
          <bgColor rgb="FFE3A82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8453B"/>
        </patternFill>
      </fill>
    </dxf>
    <dxf>
      <font>
        <name val="Arial"/>
        <charset val="1"/>
        <family val="0"/>
        <b val="1"/>
        <color rgb="FF2E8B57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00000"/>
      </font>
      <fill>
        <patternFill>
          <bgColor rgb="FFF8D7D3"/>
        </patternFill>
      </fill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50A"/>
      <rgbColor rgb="FF800080"/>
      <rgbColor rgb="FF008080"/>
      <rgbColor rgb="FFAEB9C7"/>
      <rgbColor rgb="FF878787"/>
      <rgbColor rgb="FF9999FF"/>
      <rgbColor rgb="FFC8453B"/>
      <rgbColor rgb="FFF6F8FB"/>
      <rgbColor rgb="FFE8EDF4"/>
      <rgbColor rgb="FF660066"/>
      <rgbColor rgb="FFFF8080"/>
      <rgbColor rgb="FF0066CC"/>
      <rgbColor rgb="FFC9D6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D5DBE3"/>
      <rgbColor rgb="FFFFFF99"/>
      <rgbColor rgb="FFD9D9D9"/>
      <rgbColor rgb="FFFF99CC"/>
      <rgbColor rgb="FFCC99FF"/>
      <rgbColor rgb="FFF8D7D3"/>
      <rgbColor rgb="FF2F6DB5"/>
      <rgbColor rgb="FF33CCCC"/>
      <rgbColor rgb="FF99CC00"/>
      <rgbColor rgb="FFFFCC00"/>
      <rgbColor rgb="FFE3A82B"/>
      <rgbColor rgb="FFFF6600"/>
      <rgbColor rgb="FF5D6B7A"/>
      <rgbColor rgb="FF999999"/>
      <rgbColor rgb="FF14325C"/>
      <rgbColor rgb="FF2E8B57"/>
      <rgbColor rgb="FF003300"/>
      <rgbColor rgb="FF333300"/>
      <rgbColor rgb="FF993300"/>
      <rgbColor rgb="FF993366"/>
      <rgbColor rgb="FF2F4F7F"/>
      <rgbColor rgb="FF1D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Disposal %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"Disposal %"</c:f>
              <c:strCache>
                <c:ptCount val="1"/>
                <c:pt idx="0">
                  <c:v>Disposal %</c:v>
                </c:pt>
              </c:strCache>
            </c:strRef>
          </c:tx>
          <c:spPr>
            <a:solidFill>
              <a:srgbClr val="2f6db5"/>
            </a:solidFill>
            <a:ln w="9360">
              <a:solidFill>
                <a:srgbClr val="2f6db5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Dashboard!$B$10:$B$18</c:f>
              <c:strCache>
                <c:ptCount val="9"/>
                <c:pt idx="0">
                  <c:v>F-Line Urban</c:v>
                </c:pt>
                <c:pt idx="1">
                  <c:v>F-Line Natham</c:v>
                </c:pt>
                <c:pt idx="2">
                  <c:v>F-Line Rural</c:v>
                </c:pt>
                <c:pt idx="3">
                  <c:v>ISD Urban</c:v>
                </c:pt>
                <c:pt idx="4">
                  <c:v>ISD Natham</c:v>
                </c:pt>
                <c:pt idx="5">
                  <c:v>ISD Rural</c:v>
                </c:pt>
                <c:pt idx="6">
                  <c:v>NISD Natham</c:v>
                </c:pt>
                <c:pt idx="7">
                  <c:v>NISD Urban</c:v>
                </c:pt>
                <c:pt idx="8">
                  <c:v>NISD Rural</c:v>
                </c:pt>
              </c:strCache>
            </c:strRef>
          </c:cat>
          <c:val>
            <c:numRef>
              <c:f>Dashboard!$F$10:$F$18</c:f>
              <c:numCache>
                <c:formatCode>0.0%</c:formatCode>
                <c:ptCount val="9"/>
                <c:pt idx="0">
                  <c:v>0.351648351648352</c:v>
                </c:pt>
                <c:pt idx="1">
                  <c:v>0.373199749530369</c:v>
                </c:pt>
                <c:pt idx="2">
                  <c:v>0.392511700468019</c:v>
                </c:pt>
                <c:pt idx="3">
                  <c:v>0.479452054794521</c:v>
                </c:pt>
                <c:pt idx="4">
                  <c:v>0.522485207100592</c:v>
                </c:pt>
                <c:pt idx="5">
                  <c:v>0.534461746784022</c:v>
                </c:pt>
                <c:pt idx="6">
                  <c:v>0.739463601532567</c:v>
                </c:pt>
                <c:pt idx="7">
                  <c:v>0.7822265625</c:v>
                </c:pt>
                <c:pt idx="8">
                  <c:v>0.784208964084298</c:v>
                </c:pt>
              </c:numCache>
            </c:numRef>
          </c:val>
        </c:ser>
        <c:gapWidth val="60"/>
        <c:overlap val="0"/>
        <c:axId val="97499202"/>
        <c:axId val="75092617"/>
      </c:barChart>
      <c:catAx>
        <c:axId val="974992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2617"/>
        <c:crosses val="autoZero"/>
        <c:auto val="1"/>
        <c:lblAlgn val="ctr"/>
        <c:lblOffset val="100"/>
        <c:noMultiLvlLbl val="0"/>
      </c:catAx>
      <c:valAx>
        <c:axId val="75092617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99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Surveyor disposal: Sep vs Aug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"Sep-26"</c:f>
              <c:strCache>
                <c:ptCount val="1"/>
                <c:pt idx="0">
                  <c:v>Sep-26</c:v>
                </c:pt>
              </c:strCache>
            </c:strRef>
          </c:tx>
          <c:spPr>
            <a:solidFill>
              <a:srgbClr val="14325c"/>
            </a:solidFill>
            <a:ln w="9360">
              <a:solidFill>
                <a:srgbClr val="14325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Dashboard!$B$25:$B$34</c:f>
              <c:strCache>
                <c:ptCount val="10"/>
                <c:pt idx="0">
                  <c:v>Panruti</c:v>
                </c:pt>
                <c:pt idx="1">
                  <c:v>Cuddalore</c:v>
                </c:pt>
                <c:pt idx="2">
                  <c:v>Virudhachalam</c:v>
                </c:pt>
                <c:pt idx="3">
                  <c:v>Kurinjipadi</c:v>
                </c:pt>
                <c:pt idx="4">
                  <c:v>Chidambaram</c:v>
                </c:pt>
                <c:pt idx="5">
                  <c:v>Bhuvanagiri</c:v>
                </c:pt>
                <c:pt idx="6">
                  <c:v>Veppur</c:v>
                </c:pt>
                <c:pt idx="7">
                  <c:v>Titakudi</c:v>
                </c:pt>
                <c:pt idx="8">
                  <c:v>Kattumannarkoil</c:v>
                </c:pt>
                <c:pt idx="9">
                  <c:v>Srimushnam</c:v>
                </c:pt>
              </c:strCache>
            </c:strRef>
          </c:cat>
          <c:val>
            <c:numRef>
              <c:f>Dashboard!$C$25:$C$34</c:f>
              <c:numCache>
                <c:formatCode>#,##0;\-#,##0;0</c:formatCode>
                <c:ptCount val="10"/>
                <c:pt idx="0">
                  <c:v>1254</c:v>
                </c:pt>
                <c:pt idx="1">
                  <c:v>1149</c:v>
                </c:pt>
                <c:pt idx="2">
                  <c:v>1108</c:v>
                </c:pt>
                <c:pt idx="3">
                  <c:v>755</c:v>
                </c:pt>
                <c:pt idx="4">
                  <c:v>678</c:v>
                </c:pt>
                <c:pt idx="5">
                  <c:v>537</c:v>
                </c:pt>
                <c:pt idx="6">
                  <c:v>509</c:v>
                </c:pt>
                <c:pt idx="7">
                  <c:v>485</c:v>
                </c:pt>
                <c:pt idx="8">
                  <c:v>434</c:v>
                </c:pt>
                <c:pt idx="9">
                  <c:v>243</c:v>
                </c:pt>
              </c:numCache>
            </c:numRef>
          </c:val>
        </c:ser>
        <c:ser>
          <c:idx val="1"/>
          <c:order val="1"/>
          <c:tx>
            <c:strRef>
              <c:f>"Aug-26"</c:f>
              <c:strCache>
                <c:ptCount val="1"/>
                <c:pt idx="0">
                  <c:v>Aug-26</c:v>
                </c:pt>
              </c:strCache>
            </c:strRef>
          </c:tx>
          <c:spPr>
            <a:solidFill>
              <a:srgbClr val="aeb9c7"/>
            </a:solidFill>
            <a:ln w="9360">
              <a:solidFill>
                <a:srgbClr val="aeb9c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Dashboard!$B$25:$B$34</c:f>
              <c:strCache>
                <c:ptCount val="10"/>
                <c:pt idx="0">
                  <c:v>Panruti</c:v>
                </c:pt>
                <c:pt idx="1">
                  <c:v>Cuddalore</c:v>
                </c:pt>
                <c:pt idx="2">
                  <c:v>Virudhachalam</c:v>
                </c:pt>
                <c:pt idx="3">
                  <c:v>Kurinjipadi</c:v>
                </c:pt>
                <c:pt idx="4">
                  <c:v>Chidambaram</c:v>
                </c:pt>
                <c:pt idx="5">
                  <c:v>Bhuvanagiri</c:v>
                </c:pt>
                <c:pt idx="6">
                  <c:v>Veppur</c:v>
                </c:pt>
                <c:pt idx="7">
                  <c:v>Titakudi</c:v>
                </c:pt>
                <c:pt idx="8">
                  <c:v>Kattumannarkoil</c:v>
                </c:pt>
                <c:pt idx="9">
                  <c:v>Srimushnam</c:v>
                </c:pt>
              </c:strCache>
            </c:strRef>
          </c:cat>
          <c:val>
            <c:numRef>
              <c:f>Dashboard!$D$25:$D$34</c:f>
              <c:numCache>
                <c:formatCode>#,##0;\-#,##0;0</c:formatCode>
                <c:ptCount val="10"/>
                <c:pt idx="0">
                  <c:v>1300</c:v>
                </c:pt>
                <c:pt idx="1">
                  <c:v>1165</c:v>
                </c:pt>
                <c:pt idx="2">
                  <c:v>1188</c:v>
                </c:pt>
                <c:pt idx="3">
                  <c:v>921</c:v>
                </c:pt>
                <c:pt idx="4">
                  <c:v>823</c:v>
                </c:pt>
                <c:pt idx="5">
                  <c:v>686</c:v>
                </c:pt>
                <c:pt idx="6">
                  <c:v>621</c:v>
                </c:pt>
                <c:pt idx="7">
                  <c:v>576</c:v>
                </c:pt>
                <c:pt idx="8">
                  <c:v>612</c:v>
                </c:pt>
                <c:pt idx="9">
                  <c:v>327</c:v>
                </c:pt>
              </c:numCache>
            </c:numRef>
          </c:val>
        </c:ser>
        <c:gapWidth val="60"/>
        <c:overlap val="0"/>
        <c:axId val="79869530"/>
        <c:axId val="57709333"/>
      </c:barChart>
      <c:catAx>
        <c:axId val="798695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09333"/>
        <c:crosses val="autoZero"/>
        <c:auto val="1"/>
        <c:lblAlgn val="ctr"/>
        <c:lblOffset val="100"/>
        <c:noMultiLvlLbl val="0"/>
      </c:catAx>
      <c:valAx>
        <c:axId val="57709333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695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Pending: within vs beyond time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"Within limit"</c:f>
              <c:strCache>
                <c:ptCount val="1"/>
                <c:pt idx="0">
                  <c:v>Within limit</c:v>
                </c:pt>
              </c:strCache>
            </c:strRef>
          </c:tx>
          <c:spPr>
            <a:solidFill>
              <a:srgbClr val="2f6db5"/>
            </a:solidFill>
            <a:ln w="9360">
              <a:solidFill>
                <a:srgbClr val="2f6db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Dashboard!$J$25:$J$33</c:f>
              <c:strCache>
                <c:ptCount val="9"/>
                <c:pt idx="0">
                  <c:v>ISD Rural</c:v>
                </c:pt>
                <c:pt idx="1">
                  <c:v>F-Line Rural</c:v>
                </c:pt>
                <c:pt idx="2">
                  <c:v>NISD Rural</c:v>
                </c:pt>
                <c:pt idx="3">
                  <c:v>F-Line Natham</c:v>
                </c:pt>
                <c:pt idx="4">
                  <c:v>ISD Natham</c:v>
                </c:pt>
                <c:pt idx="5">
                  <c:v>NISD Natham</c:v>
                </c:pt>
                <c:pt idx="6">
                  <c:v>ISD Urban</c:v>
                </c:pt>
                <c:pt idx="7">
                  <c:v>NISD Urban</c:v>
                </c:pt>
                <c:pt idx="8">
                  <c:v>F-Line Urban</c:v>
                </c:pt>
              </c:strCache>
            </c:strRef>
          </c:cat>
          <c:val>
            <c:numRef>
              <c:f>Dashboard!$L$25:$L$33</c:f>
              <c:numCache>
                <c:formatCode>#,##0;\-#,##0;0</c:formatCode>
                <c:ptCount val="9"/>
                <c:pt idx="0">
                  <c:v>3401</c:v>
                </c:pt>
                <c:pt idx="1">
                  <c:v>942</c:v>
                </c:pt>
                <c:pt idx="2">
                  <c:v>1444</c:v>
                </c:pt>
                <c:pt idx="3">
                  <c:v>529</c:v>
                </c:pt>
                <c:pt idx="4">
                  <c:v>807</c:v>
                </c:pt>
                <c:pt idx="5">
                  <c:v>748</c:v>
                </c:pt>
                <c:pt idx="6">
                  <c:v>380</c:v>
                </c:pt>
                <c:pt idx="7">
                  <c:v>223</c:v>
                </c:pt>
                <c:pt idx="8">
                  <c:v>78</c:v>
                </c:pt>
              </c:numCache>
            </c:numRef>
          </c:val>
        </c:ser>
        <c:ser>
          <c:idx val="1"/>
          <c:order val="1"/>
          <c:tx>
            <c:strRef>
              <c:f>"Beyond limit"</c:f>
              <c:strCache>
                <c:ptCount val="1"/>
                <c:pt idx="0">
                  <c:v>Beyond limit</c:v>
                </c:pt>
              </c:strCache>
            </c:strRef>
          </c:tx>
          <c:spPr>
            <a:solidFill>
              <a:srgbClr val="c8453b"/>
            </a:solidFill>
            <a:ln w="9360">
              <a:solidFill>
                <a:srgbClr val="c8453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Dashboard!$J$25:$J$33</c:f>
              <c:strCache>
                <c:ptCount val="9"/>
                <c:pt idx="0">
                  <c:v>ISD Rural</c:v>
                </c:pt>
                <c:pt idx="1">
                  <c:v>F-Line Rural</c:v>
                </c:pt>
                <c:pt idx="2">
                  <c:v>NISD Rural</c:v>
                </c:pt>
                <c:pt idx="3">
                  <c:v>F-Line Natham</c:v>
                </c:pt>
                <c:pt idx="4">
                  <c:v>ISD Natham</c:v>
                </c:pt>
                <c:pt idx="5">
                  <c:v>NISD Natham</c:v>
                </c:pt>
                <c:pt idx="6">
                  <c:v>ISD Urban</c:v>
                </c:pt>
                <c:pt idx="7">
                  <c:v>NISD Urban</c:v>
                </c:pt>
                <c:pt idx="8">
                  <c:v>F-Line Urban</c:v>
                </c:pt>
              </c:strCache>
            </c:strRef>
          </c:cat>
          <c:val>
            <c:numRef>
              <c:f>Dashboard!$M$25:$M$33</c:f>
              <c:numCache>
                <c:formatCode>#,##0;\-#,##0;0</c:formatCode>
                <c:ptCount val="9"/>
                <c:pt idx="0">
                  <c:v>37</c:v>
                </c:pt>
                <c:pt idx="1">
                  <c:v>1005</c:v>
                </c:pt>
                <c:pt idx="2">
                  <c:v>10</c:v>
                </c:pt>
                <c:pt idx="3">
                  <c:v>472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</c:numCache>
            </c:numRef>
          </c:val>
        </c:ser>
        <c:gapWidth val="60"/>
        <c:overlap val="100"/>
        <c:axId val="35459880"/>
        <c:axId val="5231538"/>
      </c:barChart>
      <c:catAx>
        <c:axId val="354598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1538"/>
        <c:crosses val="autoZero"/>
        <c:auto val="1"/>
        <c:lblAlgn val="ctr"/>
        <c:lblOffset val="100"/>
        <c:noMultiLvlLbl val="0"/>
      </c:catAx>
      <c:valAx>
        <c:axId val="5231538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598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rejection villages (selected category)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"Rejections"</c:f>
              <c:strCache>
                <c:ptCount val="1"/>
                <c:pt idx="0">
                  <c:v>Rejections</c:v>
                </c:pt>
              </c:strCache>
            </c:strRef>
          </c:tx>
          <c:spPr>
            <a:solidFill>
              <a:srgbClr val="14325c"/>
            </a:solidFill>
            <a:ln w="9360">
              <a:solidFill>
                <a:srgbClr val="14325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Dashboard!$O$26:$O$33</c:f>
              <c:strCache>
                <c:ptCount val="8"/>
                <c:pt idx="0">
                  <c:v>1. Vegakollai</c:v>
                </c:pt>
                <c:pt idx="1">
                  <c:v>2. Vallam</c:v>
                </c:pt>
                <c:pt idx="2">
                  <c:v>3. Vadakuthu</c:v>
                </c:pt>
                <c:pt idx="3">
                  <c:v>4. Melmampattu</c:v>
                </c:pt>
                <c:pt idx="4">
                  <c:v>5. Parvathipuram</c:v>
                </c:pt>
                <c:pt idx="5">
                  <c:v>6. Marungur</c:v>
                </c:pt>
                <c:pt idx="6">
                  <c:v>7. Keezhur</c:v>
                </c:pt>
                <c:pt idx="7">
                  <c:v>8. Pinnalur</c:v>
                </c:pt>
              </c:strCache>
            </c:strRef>
          </c:cat>
          <c:val>
            <c:numRef>
              <c:f>Dashboard!$R$26:$R$33</c:f>
              <c:numCache>
                <c:formatCode>0</c:formatCode>
                <c:ptCount val="8"/>
                <c:pt idx="0">
                  <c:v>21</c:v>
                </c:pt>
                <c:pt idx="1">
                  <c:v>14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</c:ser>
        <c:gapWidth val="60"/>
        <c:overlap val="0"/>
        <c:axId val="29958243"/>
        <c:axId val="38684921"/>
      </c:barChart>
      <c:catAx>
        <c:axId val="299582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84921"/>
        <c:crosses val="autoZero"/>
        <c:auto val="1"/>
        <c:lblAlgn val="ctr"/>
        <c:lblOffset val="100"/>
        <c:noMultiLvlLbl val="0"/>
      </c:catAx>
      <c:valAx>
        <c:axId val="3868492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582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97200</xdr:rowOff>
    </xdr:from>
    <xdr:to>
      <xdr:col>9</xdr:col>
      <xdr:colOff>269640</xdr:colOff>
      <xdr:row>59</xdr:row>
      <xdr:rowOff>109080</xdr:rowOff>
    </xdr:to>
    <xdr:graphicFrame>
      <xdr:nvGraphicFramePr>
        <xdr:cNvPr id="0" name="Chart 1"/>
        <xdr:cNvGraphicFramePr/>
      </xdr:nvGraphicFramePr>
      <xdr:xfrm>
        <a:off x="141120" y="91346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43</xdr:row>
      <xdr:rowOff>97200</xdr:rowOff>
    </xdr:from>
    <xdr:to>
      <xdr:col>16</xdr:col>
      <xdr:colOff>621720</xdr:colOff>
      <xdr:row>59</xdr:row>
      <xdr:rowOff>109080</xdr:rowOff>
    </xdr:to>
    <xdr:graphicFrame>
      <xdr:nvGraphicFramePr>
        <xdr:cNvPr id="1" name="Chart 2"/>
        <xdr:cNvGraphicFramePr/>
      </xdr:nvGraphicFramePr>
      <xdr:xfrm>
        <a:off x="5991120" y="91346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61</xdr:row>
      <xdr:rowOff>97200</xdr:rowOff>
    </xdr:from>
    <xdr:to>
      <xdr:col>9</xdr:col>
      <xdr:colOff>269640</xdr:colOff>
      <xdr:row>77</xdr:row>
      <xdr:rowOff>109080</xdr:rowOff>
    </xdr:to>
    <xdr:graphicFrame>
      <xdr:nvGraphicFramePr>
        <xdr:cNvPr id="2" name="Chart 3"/>
        <xdr:cNvGraphicFramePr/>
      </xdr:nvGraphicFramePr>
      <xdr:xfrm>
        <a:off x="141120" y="125636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61</xdr:row>
      <xdr:rowOff>97200</xdr:rowOff>
    </xdr:from>
    <xdr:to>
      <xdr:col>16</xdr:col>
      <xdr:colOff>621720</xdr:colOff>
      <xdr:row>77</xdr:row>
      <xdr:rowOff>109080</xdr:rowOff>
    </xdr:to>
    <xdr:graphicFrame>
      <xdr:nvGraphicFramePr>
        <xdr:cNvPr id="3" name="Chart 4"/>
        <xdr:cNvGraphicFramePr/>
      </xdr:nvGraphicFramePr>
      <xdr:xfrm>
        <a:off x="5991120" y="125636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25C"/>
    <pageSetUpPr fitToPage="true"/>
  </sheetPr>
  <dimension ref="A1:T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6" min="3" style="0" width="11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6"/>
    <col collapsed="false" customWidth="true" hidden="false" outlineLevel="0" max="10" min="10" style="0" width="18"/>
    <col collapsed="false" customWidth="true" hidden="false" outlineLevel="0" max="16" min="11" style="0" width="10"/>
    <col collapsed="false" customWidth="true" hidden="false" outlineLevel="0" max="18" min="17" style="0" width="11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  <c r="R1" s="3"/>
    </row>
    <row r="2" customFormat="false" ht="21.75" hidden="false" customHeight="true" outlineLevel="0" collapsed="false">
      <c r="A2" s="1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3</v>
      </c>
      <c r="P2" s="5"/>
      <c r="Q2" s="5"/>
      <c r="R2" s="5"/>
    </row>
    <row r="4" customFormat="false" ht="15" hidden="false" customHeight="false" outlineLevel="0" collapsed="false">
      <c r="B4" s="6" t="s">
        <v>4</v>
      </c>
      <c r="C4" s="6"/>
      <c r="D4" s="6"/>
      <c r="E4" s="7" t="s">
        <v>5</v>
      </c>
      <c r="F4" s="7"/>
      <c r="G4" s="7"/>
      <c r="J4" s="8" t="s">
        <v>6</v>
      </c>
      <c r="K4" s="8"/>
      <c r="L4" s="8"/>
      <c r="M4" s="8"/>
      <c r="N4" s="9" t="s">
        <v>7</v>
      </c>
      <c r="O4" s="9"/>
      <c r="P4" s="9"/>
      <c r="Q4" s="9"/>
      <c r="R4" s="9"/>
    </row>
    <row r="5" customFormat="false" ht="33.75" hidden="false" customHeight="true" outlineLevel="0" collapsed="false">
      <c r="B5" s="10" t="n">
        <f aca="false">SUM(Calc!B3:B11)</f>
        <v>25422</v>
      </c>
      <c r="C5" s="10"/>
      <c r="D5" s="10"/>
      <c r="E5" s="11" t="n">
        <f aca="false">IFERROR(SUM(Calc!C3:C11)/SUM(Calc!B3:B11),0)</f>
        <v>0.602076941232004</v>
      </c>
      <c r="F5" s="11"/>
      <c r="G5" s="11"/>
      <c r="J5" s="12" t="n">
        <f aca="false">SUM(Calc!D3:D11)</f>
        <v>10116</v>
      </c>
      <c r="K5" s="12"/>
      <c r="L5" s="12"/>
      <c r="M5" s="12"/>
      <c r="N5" s="13" t="n">
        <f aca="false">SUM(Calc!F3:F11)</f>
        <v>1564</v>
      </c>
      <c r="O5" s="13"/>
      <c r="P5" s="13"/>
      <c r="Q5" s="13"/>
      <c r="R5" s="13"/>
    </row>
    <row r="6" customFormat="false" ht="15" hidden="false" customHeight="false" outlineLevel="0" collapsed="false">
      <c r="B6" s="14" t="str">
        <f aca="false">"all 9 streams combined"</f>
        <v>all 9 streams combined</v>
      </c>
      <c r="C6" s="14"/>
      <c r="D6" s="14"/>
      <c r="E6" s="15" t="str">
        <f aca="false">TEXT(SUM(Calc!C3:C11),"#,##0")&amp;" of "&amp;TEXT(SUM(Calc!B3:B11),"#,##0")</f>
        <v>15,306 of 25,422</v>
      </c>
      <c r="F6" s="15"/>
      <c r="G6" s="15"/>
      <c r="J6" s="16" t="str">
        <f aca="false">TEXT(IFERROR(SUM(Calc!D3:D11)/SUM(Calc!B3:B11),0),"0%")&amp;" of workload"</f>
        <v>40% of workload</v>
      </c>
      <c r="K6" s="16"/>
      <c r="L6" s="16"/>
      <c r="M6" s="16"/>
      <c r="N6" s="17" t="str">
        <f aca="false">"NISD 15 days; ISD, F-Line 1 month"</f>
        <v>NISD 15 days; ISD, F-Line 1 month</v>
      </c>
      <c r="O6" s="17"/>
      <c r="P6" s="17"/>
      <c r="Q6" s="17"/>
      <c r="R6" s="17"/>
    </row>
    <row r="8" customFormat="false" ht="15" hidden="false" customHeight="false" outlineLevel="0" collapsed="false">
      <c r="B8" s="18" t="s">
        <v>8</v>
      </c>
      <c r="I8" s="18" t="s">
        <v>9</v>
      </c>
    </row>
    <row r="9" customFormat="false" ht="30" hidden="false" customHeight="true" outlineLevel="0" collapsed="false">
      <c r="B9" s="19" t="s">
        <v>10</v>
      </c>
      <c r="C9" s="19" t="s">
        <v>11</v>
      </c>
      <c r="D9" s="19" t="s">
        <v>5</v>
      </c>
      <c r="E9" s="19" t="s">
        <v>6</v>
      </c>
      <c r="F9" s="19" t="s">
        <v>12</v>
      </c>
      <c r="G9" s="19" t="s">
        <v>13</v>
      </c>
      <c r="I9" s="19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  <c r="R9" s="19" t="s">
        <v>23</v>
      </c>
    </row>
    <row r="10" customFormat="false" ht="15" hidden="false" customHeight="false" outlineLevel="0" collapsed="false">
      <c r="B10" s="20" t="str">
        <f aca="false">INDEX(Calc!$A$3:$A$11,MATCH(SMALL(Calc!$H$3:$H$11,1),Calc!$H$3:$H$11,0))</f>
        <v>F-Line Urban</v>
      </c>
      <c r="C10" s="21" t="n">
        <f aca="false">INDEX(Calc!$B$3:$B$11,MATCH(SMALL(Calc!$H$3:$H$11,1),Calc!$H$3:$H$11,0))</f>
        <v>182</v>
      </c>
      <c r="D10" s="21" t="n">
        <f aca="false">INDEX(Calc!$C$3:$C$11,MATCH(SMALL(Calc!$H$3:$H$11,1),Calc!$H$3:$H$11,0))</f>
        <v>64</v>
      </c>
      <c r="E10" s="21" t="n">
        <f aca="false">INDEX(Calc!$D$3:$D$11,MATCH(SMALL(Calc!$H$3:$H$11,1),Calc!$H$3:$H$11,0))</f>
        <v>118</v>
      </c>
      <c r="F10" s="22" t="n">
        <f aca="false">INDEX(Calc!$G$3:$G$11,MATCH(SMALL(Calc!$H$3:$H$11,1),Calc!$H$3:$H$11,0))</f>
        <v>0.351648351648352</v>
      </c>
      <c r="G10" s="21" t="n">
        <f aca="false">INDEX(Calc!$F$3:$F$11,MATCH(SMALL(Calc!$H$3:$H$11,1),Calc!$H$3:$H$11,0))</f>
        <v>40</v>
      </c>
      <c r="I10" s="23" t="n">
        <v>1</v>
      </c>
      <c r="J10" s="20" t="str">
        <f aca="false">INDEX(Calc!$A$15:$A$24,MATCH(LARGE(Calc!$Q$15:$Q$24,1),Calc!$Q$15:$Q$24,0))</f>
        <v>Kattumannarkoil</v>
      </c>
      <c r="K10" s="24" t="n">
        <f aca="false">INDEX(Calc!$R$15:$R$24,MATCH(LARGE(Calc!$Q$15:$Q$24,1),Calc!$Q$15:$Q$24,0))</f>
        <v>0.780612244897959</v>
      </c>
      <c r="L10" s="24" t="n">
        <f aca="false">INDEX(Calc!$S$15:$S$24,MATCH(LARGE(Calc!$Q$15:$Q$24,1),Calc!$Q$15:$Q$24,0))</f>
        <v>0.71551724137931</v>
      </c>
      <c r="M10" s="24" t="n">
        <f aca="false">INDEX(Calc!$T$15:$T$24,MATCH(LARGE(Calc!$Q$15:$Q$24,1),Calc!$Q$15:$Q$24,0))</f>
        <v>0.502906976744186</v>
      </c>
      <c r="N10" s="24" t="n">
        <f aca="false">INDEX(Calc!$U$15:$U$24,MATCH(LARGE(Calc!$Q$15:$Q$24,1),Calc!$Q$15:$Q$24,0))</f>
        <v>0.44</v>
      </c>
      <c r="O10" s="24" t="n">
        <f aca="false">INDEX(Calc!$V$15:$V$24,MATCH(LARGE(Calc!$Q$15:$Q$24,1),Calc!$Q$15:$Q$24,0))</f>
        <v>0.359447004608295</v>
      </c>
      <c r="P10" s="24" t="n">
        <f aca="false">INDEX(Calc!$W$15:$W$24,MATCH(LARGE(Calc!$Q$15:$Q$24,1),Calc!$Q$15:$Q$24,0))</f>
        <v>0.365079365079365</v>
      </c>
      <c r="Q10" s="24" t="n">
        <f aca="false">INDEX(Calc!$P$15:$P$24,MATCH(LARGE(Calc!$Q$15:$Q$24,1),Calc!$Q$15:$Q$24,0))</f>
        <v>0.419790104947526</v>
      </c>
      <c r="R10" s="21" t="n">
        <f aca="false">INDEX(Calc!$O$15:$O$24,MATCH(LARGE(Calc!$Q$15:$Q$24,1),Calc!$Q$15:$Q$24,0))</f>
        <v>840</v>
      </c>
    </row>
    <row r="11" customFormat="false" ht="15" hidden="false" customHeight="false" outlineLevel="0" collapsed="false">
      <c r="B11" s="25" t="str">
        <f aca="false">INDEX(Calc!$A$3:$A$11,MATCH(SMALL(Calc!$H$3:$H$11,2),Calc!$H$3:$H$11,0))</f>
        <v>F-Line Natham</v>
      </c>
      <c r="C11" s="26" t="n">
        <f aca="false">INDEX(Calc!$B$3:$B$11,MATCH(SMALL(Calc!$H$3:$H$11,2),Calc!$H$3:$H$11,0))</f>
        <v>1597</v>
      </c>
      <c r="D11" s="26" t="n">
        <f aca="false">INDEX(Calc!$C$3:$C$11,MATCH(SMALL(Calc!$H$3:$H$11,2),Calc!$H$3:$H$11,0))</f>
        <v>596</v>
      </c>
      <c r="E11" s="26" t="n">
        <f aca="false">INDEX(Calc!$D$3:$D$11,MATCH(SMALL(Calc!$H$3:$H$11,2),Calc!$H$3:$H$11,0))</f>
        <v>1001</v>
      </c>
      <c r="F11" s="27" t="n">
        <f aca="false">INDEX(Calc!$G$3:$G$11,MATCH(SMALL(Calc!$H$3:$H$11,2),Calc!$H$3:$H$11,0))</f>
        <v>0.373199749530369</v>
      </c>
      <c r="G11" s="26" t="n">
        <f aca="false">INDEX(Calc!$F$3:$F$11,MATCH(SMALL(Calc!$H$3:$H$11,2),Calc!$H$3:$H$11,0))</f>
        <v>472</v>
      </c>
      <c r="I11" s="23" t="n">
        <v>2</v>
      </c>
      <c r="J11" s="20" t="str">
        <f aca="false">INDEX(Calc!$A$15:$A$24,MATCH(LARGE(Calc!$Q$15:$Q$24,2),Calc!$Q$15:$Q$24,0))</f>
        <v>Srimushnam</v>
      </c>
      <c r="K11" s="24" t="n">
        <f aca="false">INDEX(Calc!$R$15:$R$24,MATCH(LARGE(Calc!$Q$15:$Q$24,2),Calc!$Q$15:$Q$24,0))</f>
        <v>0.770149253731343</v>
      </c>
      <c r="L11" s="24" t="n">
        <f aca="false">INDEX(Calc!$S$15:$S$24,MATCH(LARGE(Calc!$Q$15:$Q$24,2),Calc!$Q$15:$Q$24,0))</f>
        <v>0.728</v>
      </c>
      <c r="M11" s="24" t="n">
        <f aca="false">INDEX(Calc!$T$15:$T$24,MATCH(LARGE(Calc!$Q$15:$Q$24,2),Calc!$Q$15:$Q$24,0))</f>
        <v>0.537254901960784</v>
      </c>
      <c r="N11" s="24" t="n">
        <f aca="false">INDEX(Calc!$U$15:$U$24,MATCH(LARGE(Calc!$Q$15:$Q$24,2),Calc!$Q$15:$Q$24,0))</f>
        <v>0.486486486486487</v>
      </c>
      <c r="O11" s="24" t="n">
        <f aca="false">INDEX(Calc!$V$15:$V$24,MATCH(LARGE(Calc!$Q$15:$Q$24,2),Calc!$Q$15:$Q$24,0))</f>
        <v>0.37037037037037</v>
      </c>
      <c r="P11" s="24" t="n">
        <f aca="false">INDEX(Calc!$W$15:$W$24,MATCH(LARGE(Calc!$Q$15:$Q$24,2),Calc!$Q$15:$Q$24,0))</f>
        <v>0.346938775510204</v>
      </c>
      <c r="Q11" s="24" t="n">
        <f aca="false">INDEX(Calc!$P$15:$P$24,MATCH(LARGE(Calc!$Q$15:$Q$24,2),Calc!$Q$15:$Q$24,0))</f>
        <v>0.4182156133829</v>
      </c>
      <c r="R11" s="21" t="n">
        <f aca="false">INDEX(Calc!$O$15:$O$24,MATCH(LARGE(Calc!$Q$15:$Q$24,2),Calc!$Q$15:$Q$24,0))</f>
        <v>450</v>
      </c>
    </row>
    <row r="12" customFormat="false" ht="15" hidden="false" customHeight="false" outlineLevel="0" collapsed="false">
      <c r="B12" s="20" t="str">
        <f aca="false">INDEX(Calc!$A$3:$A$11,MATCH(SMALL(Calc!$H$3:$H$11,3),Calc!$H$3:$H$11,0))</f>
        <v>F-Line Rural</v>
      </c>
      <c r="C12" s="21" t="n">
        <f aca="false">INDEX(Calc!$B$3:$B$11,MATCH(SMALL(Calc!$H$3:$H$11,3),Calc!$H$3:$H$11,0))</f>
        <v>3205</v>
      </c>
      <c r="D12" s="21" t="n">
        <f aca="false">INDEX(Calc!$C$3:$C$11,MATCH(SMALL(Calc!$H$3:$H$11,3),Calc!$H$3:$H$11,0))</f>
        <v>1258</v>
      </c>
      <c r="E12" s="21" t="n">
        <f aca="false">INDEX(Calc!$D$3:$D$11,MATCH(SMALL(Calc!$H$3:$H$11,3),Calc!$H$3:$H$11,0))</f>
        <v>1947</v>
      </c>
      <c r="F12" s="22" t="n">
        <f aca="false">INDEX(Calc!$G$3:$G$11,MATCH(SMALL(Calc!$H$3:$H$11,3),Calc!$H$3:$H$11,0))</f>
        <v>0.392511700468019</v>
      </c>
      <c r="G12" s="21" t="n">
        <f aca="false">INDEX(Calc!$F$3:$F$11,MATCH(SMALL(Calc!$H$3:$H$11,3),Calc!$H$3:$H$11,0))</f>
        <v>1005</v>
      </c>
      <c r="I12" s="23" t="n">
        <v>3</v>
      </c>
      <c r="J12" s="20" t="str">
        <f aca="false">INDEX(Calc!$A$15:$A$24,MATCH(LARGE(Calc!$Q$15:$Q$24,3),Calc!$Q$15:$Q$24,0))</f>
        <v>Panruti</v>
      </c>
      <c r="K12" s="24" t="n">
        <f aca="false">INDEX(Calc!$R$15:$R$24,MATCH(LARGE(Calc!$Q$15:$Q$24,3),Calc!$Q$15:$Q$24,0))</f>
        <v>0.736680327868853</v>
      </c>
      <c r="L12" s="24" t="n">
        <f aca="false">INDEX(Calc!$S$15:$S$24,MATCH(LARGE(Calc!$Q$15:$Q$24,3),Calc!$Q$15:$Q$24,0))</f>
        <v>0.750642673521851</v>
      </c>
      <c r="M12" s="24" t="n">
        <f aca="false">INDEX(Calc!$T$15:$T$24,MATCH(LARGE(Calc!$Q$15:$Q$24,3),Calc!$Q$15:$Q$24,0))</f>
        <v>0.512621359223301</v>
      </c>
      <c r="N12" s="24" t="n">
        <f aca="false">INDEX(Calc!$U$15:$U$24,MATCH(LARGE(Calc!$Q$15:$Q$24,3),Calc!$Q$15:$Q$24,0))</f>
        <v>0.535864978902954</v>
      </c>
      <c r="O12" s="24" t="n">
        <f aca="false">INDEX(Calc!$V$15:$V$24,MATCH(LARGE(Calc!$Q$15:$Q$24,3),Calc!$Q$15:$Q$24,0))</f>
        <v>0.343163538873995</v>
      </c>
      <c r="P12" s="24" t="n">
        <f aca="false">INDEX(Calc!$W$15:$W$24,MATCH(LARGE(Calc!$Q$15:$Q$24,3),Calc!$Q$15:$Q$24,0))</f>
        <v>0.382352941176471</v>
      </c>
      <c r="Q12" s="24" t="n">
        <f aca="false">INDEX(Calc!$P$15:$P$24,MATCH(LARGE(Calc!$Q$15:$Q$24,3),Calc!$Q$15:$Q$24,0))</f>
        <v>0.416640698036772</v>
      </c>
      <c r="R12" s="21" t="n">
        <f aca="false">INDEX(Calc!$O$15:$O$24,MATCH(LARGE(Calc!$Q$15:$Q$24,3),Calc!$Q$15:$Q$24,0))</f>
        <v>1337</v>
      </c>
    </row>
    <row r="13" customFormat="false" ht="15" hidden="false" customHeight="false" outlineLevel="0" collapsed="false">
      <c r="B13" s="25" t="str">
        <f aca="false">INDEX(Calc!$A$3:$A$11,MATCH(SMALL(Calc!$H$3:$H$11,4),Calc!$H$3:$H$11,0))</f>
        <v>ISD Urban</v>
      </c>
      <c r="C13" s="26" t="n">
        <f aca="false">INDEX(Calc!$B$3:$B$11,MATCH(SMALL(Calc!$H$3:$H$11,4),Calc!$H$3:$H$11,0))</f>
        <v>730</v>
      </c>
      <c r="D13" s="26" t="n">
        <f aca="false">INDEX(Calc!$C$3:$C$11,MATCH(SMALL(Calc!$H$3:$H$11,4),Calc!$H$3:$H$11,0))</f>
        <v>350</v>
      </c>
      <c r="E13" s="26" t="n">
        <f aca="false">INDEX(Calc!$D$3:$D$11,MATCH(SMALL(Calc!$H$3:$H$11,4),Calc!$H$3:$H$11,0))</f>
        <v>380</v>
      </c>
      <c r="F13" s="27" t="n">
        <f aca="false">INDEX(Calc!$G$3:$G$11,MATCH(SMALL(Calc!$H$3:$H$11,4),Calc!$H$3:$H$11,0))</f>
        <v>0.479452054794521</v>
      </c>
      <c r="G13" s="26" t="n">
        <f aca="false">INDEX(Calc!$F$3:$F$11,MATCH(SMALL(Calc!$H$3:$H$11,4),Calc!$H$3:$H$11,0))</f>
        <v>0</v>
      </c>
      <c r="I13" s="23" t="n">
        <v>4</v>
      </c>
      <c r="J13" s="20" t="str">
        <f aca="false">INDEX(Calc!$A$15:$A$24,MATCH(LARGE(Calc!$Q$15:$Q$24,4),Calc!$Q$15:$Q$24,0))</f>
        <v>Bhuvanagiri</v>
      </c>
      <c r="K13" s="24" t="n">
        <f aca="false">INDEX(Calc!$R$15:$R$24,MATCH(LARGE(Calc!$Q$15:$Q$24,4),Calc!$Q$15:$Q$24,0))</f>
        <v>0.744360902255639</v>
      </c>
      <c r="L13" s="24" t="n">
        <f aca="false">INDEX(Calc!$S$15:$S$24,MATCH(LARGE(Calc!$Q$15:$Q$24,4),Calc!$Q$15:$Q$24,0))</f>
        <v>0.754437869822485</v>
      </c>
      <c r="M13" s="24" t="n">
        <f aca="false">INDEX(Calc!$T$15:$T$24,MATCH(LARGE(Calc!$Q$15:$Q$24,4),Calc!$Q$15:$Q$24,0))</f>
        <v>0.522653721682848</v>
      </c>
      <c r="N13" s="24" t="n">
        <f aca="false">INDEX(Calc!$U$15:$U$24,MATCH(LARGE(Calc!$Q$15:$Q$24,4),Calc!$Q$15:$Q$24,0))</f>
        <v>0.527027027027027</v>
      </c>
      <c r="O13" s="24" t="n">
        <f aca="false">INDEX(Calc!$V$15:$V$24,MATCH(LARGE(Calc!$Q$15:$Q$24,4),Calc!$Q$15:$Q$24,0))</f>
        <v>0.413127413127413</v>
      </c>
      <c r="P13" s="24" t="n">
        <f aca="false">INDEX(Calc!$W$15:$W$24,MATCH(LARGE(Calc!$Q$15:$Q$24,4),Calc!$Q$15:$Q$24,0))</f>
        <v>0.372881355932203</v>
      </c>
      <c r="Q13" s="24" t="n">
        <f aca="false">INDEX(Calc!$P$15:$P$24,MATCH(LARGE(Calc!$Q$15:$Q$24,4),Calc!$Q$15:$Q$24,0))</f>
        <v>0.410997204100652</v>
      </c>
      <c r="R13" s="21" t="n">
        <f aca="false">INDEX(Calc!$O$15:$O$24,MATCH(LARGE(Calc!$Q$15:$Q$24,4),Calc!$Q$15:$Q$24,0))</f>
        <v>882</v>
      </c>
    </row>
    <row r="14" customFormat="false" ht="15" hidden="false" customHeight="false" outlineLevel="0" collapsed="false">
      <c r="B14" s="20" t="str">
        <f aca="false">INDEX(Calc!$A$3:$A$11,MATCH(SMALL(Calc!$H$3:$H$11,5),Calc!$H$3:$H$11,0))</f>
        <v>ISD Natham</v>
      </c>
      <c r="C14" s="21" t="n">
        <f aca="false">INDEX(Calc!$B$3:$B$11,MATCH(SMALL(Calc!$H$3:$H$11,5),Calc!$H$3:$H$11,0))</f>
        <v>1690</v>
      </c>
      <c r="D14" s="21" t="n">
        <f aca="false">INDEX(Calc!$C$3:$C$11,MATCH(SMALL(Calc!$H$3:$H$11,5),Calc!$H$3:$H$11,0))</f>
        <v>883</v>
      </c>
      <c r="E14" s="21" t="n">
        <f aca="false">INDEX(Calc!$D$3:$D$11,MATCH(SMALL(Calc!$H$3:$H$11,5),Calc!$H$3:$H$11,0))</f>
        <v>807</v>
      </c>
      <c r="F14" s="22" t="n">
        <f aca="false">INDEX(Calc!$G$3:$G$11,MATCH(SMALL(Calc!$H$3:$H$11,5),Calc!$H$3:$H$11,0))</f>
        <v>0.522485207100592</v>
      </c>
      <c r="G14" s="21" t="n">
        <f aca="false">INDEX(Calc!$F$3:$F$11,MATCH(SMALL(Calc!$H$3:$H$11,5),Calc!$H$3:$H$11,0))</f>
        <v>0</v>
      </c>
      <c r="I14" s="23" t="n">
        <v>5</v>
      </c>
      <c r="J14" s="20" t="str">
        <f aca="false">INDEX(Calc!$A$15:$A$24,MATCH(LARGE(Calc!$Q$15:$Q$24,5),Calc!$Q$15:$Q$24,0))</f>
        <v>Kurinjipadi</v>
      </c>
      <c r="K14" s="24" t="n">
        <f aca="false">INDEX(Calc!$R$15:$R$24,MATCH(LARGE(Calc!$Q$15:$Q$24,5),Calc!$Q$15:$Q$24,0))</f>
        <v>0.736535662299855</v>
      </c>
      <c r="L14" s="24" t="n">
        <f aca="false">INDEX(Calc!$S$15:$S$24,MATCH(LARGE(Calc!$Q$15:$Q$24,5),Calc!$Q$15:$Q$24,0))</f>
        <v>0.79253112033195</v>
      </c>
      <c r="M14" s="24" t="n">
        <f aca="false">INDEX(Calc!$T$15:$T$24,MATCH(LARGE(Calc!$Q$15:$Q$24,5),Calc!$Q$15:$Q$24,0))</f>
        <v>0.549342105263158</v>
      </c>
      <c r="N14" s="24" t="n">
        <f aca="false">INDEX(Calc!$U$15:$U$24,MATCH(LARGE(Calc!$Q$15:$Q$24,5),Calc!$Q$15:$Q$24,0))</f>
        <v>0.645714285714286</v>
      </c>
      <c r="O14" s="24" t="n">
        <f aca="false">INDEX(Calc!$V$15:$V$24,MATCH(LARGE(Calc!$Q$15:$Q$24,5),Calc!$Q$15:$Q$24,0))</f>
        <v>0.376770538243626</v>
      </c>
      <c r="P14" s="24" t="n">
        <f aca="false">INDEX(Calc!$W$15:$W$24,MATCH(LARGE(Calc!$Q$15:$Q$24,5),Calc!$Q$15:$Q$24,0))</f>
        <v>0.363636363636364</v>
      </c>
      <c r="Q14" s="24" t="n">
        <f aca="false">INDEX(Calc!$P$15:$P$24,MATCH(LARGE(Calc!$Q$15:$Q$24,5),Calc!$Q$15:$Q$24,0))</f>
        <v>0.405233941316416</v>
      </c>
      <c r="R14" s="21" t="n">
        <f aca="false">INDEX(Calc!$O$15:$O$24,MATCH(LARGE(Calc!$Q$15:$Q$24,5),Calc!$Q$15:$Q$24,0))</f>
        <v>1022</v>
      </c>
    </row>
    <row r="15" customFormat="false" ht="15" hidden="false" customHeight="false" outlineLevel="0" collapsed="false">
      <c r="B15" s="25" t="str">
        <f aca="false">INDEX(Calc!$A$3:$A$11,MATCH(SMALL(Calc!$H$3:$H$11,6),Calc!$H$3:$H$11,0))</f>
        <v>ISD Rural</v>
      </c>
      <c r="C15" s="26" t="n">
        <f aca="false">INDEX(Calc!$B$3:$B$11,MATCH(SMALL(Calc!$H$3:$H$11,6),Calc!$H$3:$H$11,0))</f>
        <v>7385</v>
      </c>
      <c r="D15" s="26" t="n">
        <f aca="false">INDEX(Calc!$C$3:$C$11,MATCH(SMALL(Calc!$H$3:$H$11,6),Calc!$H$3:$H$11,0))</f>
        <v>3947</v>
      </c>
      <c r="E15" s="26" t="n">
        <f aca="false">INDEX(Calc!$D$3:$D$11,MATCH(SMALL(Calc!$H$3:$H$11,6),Calc!$H$3:$H$11,0))</f>
        <v>3438</v>
      </c>
      <c r="F15" s="27" t="n">
        <f aca="false">INDEX(Calc!$G$3:$G$11,MATCH(SMALL(Calc!$H$3:$H$11,6),Calc!$H$3:$H$11,0))</f>
        <v>0.534461746784022</v>
      </c>
      <c r="G15" s="26" t="n">
        <f aca="false">INDEX(Calc!$F$3:$F$11,MATCH(SMALL(Calc!$H$3:$H$11,6),Calc!$H$3:$H$11,0))</f>
        <v>37</v>
      </c>
      <c r="I15" s="23" t="n">
        <v>6</v>
      </c>
      <c r="J15" s="20" t="str">
        <f aca="false">INDEX(Calc!$A$15:$A$24,MATCH(LARGE(Calc!$Q$15:$Q$24,6),Calc!$Q$15:$Q$24,0))</f>
        <v>Vridhachalam</v>
      </c>
      <c r="K15" s="24" t="n">
        <f aca="false">INDEX(Calc!$R$15:$R$24,MATCH(LARGE(Calc!$Q$15:$Q$24,6),Calc!$Q$15:$Q$24,0))</f>
        <v>0.969455511288181</v>
      </c>
      <c r="L15" s="24" t="n">
        <f aca="false">INDEX(Calc!$S$15:$S$24,MATCH(LARGE(Calc!$Q$15:$Q$24,6),Calc!$Q$15:$Q$24,0))</f>
        <v>0.648780487804878</v>
      </c>
      <c r="M15" s="24" t="n">
        <f aca="false">INDEX(Calc!$T$15:$T$24,MATCH(LARGE(Calc!$Q$15:$Q$24,6),Calc!$Q$15:$Q$24,0))</f>
        <v>0.513233601841197</v>
      </c>
      <c r="N15" s="24" t="n">
        <f aca="false">INDEX(Calc!$U$15:$U$24,MATCH(LARGE(Calc!$Q$15:$Q$24,6),Calc!$Q$15:$Q$24,0))</f>
        <v>0.5</v>
      </c>
      <c r="O15" s="24" t="n">
        <f aca="false">INDEX(Calc!$V$15:$V$24,MATCH(LARGE(Calc!$Q$15:$Q$24,6),Calc!$Q$15:$Q$24,0))</f>
        <v>0.369888475836431</v>
      </c>
      <c r="P15" s="24" t="n">
        <f aca="false">INDEX(Calc!$W$15:$W$24,MATCH(LARGE(Calc!$Q$15:$Q$24,6),Calc!$Q$15:$Q$24,0))</f>
        <v>0.336170212765957</v>
      </c>
      <c r="Q15" s="24" t="n">
        <f aca="false">INDEX(Calc!$P$15:$P$24,MATCH(LARGE(Calc!$Q$15:$Q$24,6),Calc!$Q$15:$Q$24,0))</f>
        <v>0.395249092708677</v>
      </c>
      <c r="R15" s="21" t="n">
        <f aca="false">INDEX(Calc!$O$15:$O$24,MATCH(LARGE(Calc!$Q$15:$Q$24,6),Calc!$Q$15:$Q$24,0))</f>
        <v>1198</v>
      </c>
    </row>
    <row r="16" customFormat="false" ht="15" hidden="false" customHeight="false" outlineLevel="0" collapsed="false">
      <c r="B16" s="20" t="str">
        <f aca="false">INDEX(Calc!$A$3:$A$11,MATCH(SMALL(Calc!$H$3:$H$11,7),Calc!$H$3:$H$11,0))</f>
        <v>NISD Natham</v>
      </c>
      <c r="C16" s="21" t="n">
        <f aca="false">INDEX(Calc!$B$3:$B$11,MATCH(SMALL(Calc!$H$3:$H$11,7),Calc!$H$3:$H$11,0))</f>
        <v>2871</v>
      </c>
      <c r="D16" s="21" t="n">
        <f aca="false">INDEX(Calc!$C$3:$C$11,MATCH(SMALL(Calc!$H$3:$H$11,7),Calc!$H$3:$H$11,0))</f>
        <v>2123</v>
      </c>
      <c r="E16" s="21" t="n">
        <f aca="false">INDEX(Calc!$D$3:$D$11,MATCH(SMALL(Calc!$H$3:$H$11,7),Calc!$H$3:$H$11,0))</f>
        <v>748</v>
      </c>
      <c r="F16" s="22" t="n">
        <f aca="false">INDEX(Calc!$G$3:$G$11,MATCH(SMALL(Calc!$H$3:$H$11,7),Calc!$H$3:$H$11,0))</f>
        <v>0.739463601532567</v>
      </c>
      <c r="G16" s="21" t="n">
        <f aca="false">INDEX(Calc!$F$3:$F$11,MATCH(SMALL(Calc!$H$3:$H$11,7),Calc!$H$3:$H$11,0))</f>
        <v>0</v>
      </c>
      <c r="I16" s="23" t="n">
        <v>7</v>
      </c>
      <c r="J16" s="20" t="str">
        <f aca="false">INDEX(Calc!$A$15:$A$24,MATCH(LARGE(Calc!$Q$15:$Q$24,7),Calc!$Q$15:$Q$24,0))</f>
        <v>Chidambaram</v>
      </c>
      <c r="K16" s="24" t="n">
        <f aca="false">INDEX(Calc!$R$15:$R$24,MATCH(LARGE(Calc!$Q$15:$Q$24,7),Calc!$Q$15:$Q$24,0))</f>
        <v>0.76793893129771</v>
      </c>
      <c r="L16" s="24" t="n">
        <f aca="false">INDEX(Calc!$S$15:$S$24,MATCH(LARGE(Calc!$Q$15:$Q$24,7),Calc!$Q$15:$Q$24,0))</f>
        <v>0.73186119873817</v>
      </c>
      <c r="M16" s="24" t="n">
        <f aca="false">INDEX(Calc!$T$15:$T$24,MATCH(LARGE(Calc!$Q$15:$Q$24,7),Calc!$Q$15:$Q$24,0))</f>
        <v>0.554245283018868</v>
      </c>
      <c r="N16" s="24" t="n">
        <f aca="false">INDEX(Calc!$U$15:$U$24,MATCH(LARGE(Calc!$Q$15:$Q$24,7),Calc!$Q$15:$Q$24,0))</f>
        <v>0.461988304093567</v>
      </c>
      <c r="O16" s="24" t="n">
        <f aca="false">INDEX(Calc!$V$15:$V$24,MATCH(LARGE(Calc!$Q$15:$Q$24,7),Calc!$Q$15:$Q$24,0))</f>
        <v>0.432</v>
      </c>
      <c r="P16" s="24" t="n">
        <f aca="false">INDEX(Calc!$W$15:$W$24,MATCH(LARGE(Calc!$Q$15:$Q$24,7),Calc!$Q$15:$Q$24,0))</f>
        <v>0.371428571428571</v>
      </c>
      <c r="Q16" s="24" t="n">
        <f aca="false">INDEX(Calc!$P$15:$P$24,MATCH(LARGE(Calc!$Q$15:$Q$24,7),Calc!$Q$15:$Q$24,0))</f>
        <v>0.393532129357413</v>
      </c>
      <c r="R16" s="21" t="n">
        <f aca="false">INDEX(Calc!$O$15:$O$24,MATCH(LARGE(Calc!$Q$15:$Q$24,7),Calc!$Q$15:$Q$24,0))</f>
        <v>937</v>
      </c>
    </row>
    <row r="17" customFormat="false" ht="15" hidden="false" customHeight="false" outlineLevel="0" collapsed="false">
      <c r="B17" s="25" t="str">
        <f aca="false">INDEX(Calc!$A$3:$A$11,MATCH(SMALL(Calc!$H$3:$H$11,8),Calc!$H$3:$H$11,0))</f>
        <v>NISD Urban</v>
      </c>
      <c r="C17" s="26" t="n">
        <f aca="false">INDEX(Calc!$B$3:$B$11,MATCH(SMALL(Calc!$H$3:$H$11,8),Calc!$H$3:$H$11,0))</f>
        <v>1024</v>
      </c>
      <c r="D17" s="26" t="n">
        <f aca="false">INDEX(Calc!$C$3:$C$11,MATCH(SMALL(Calc!$H$3:$H$11,8),Calc!$H$3:$H$11,0))</f>
        <v>801</v>
      </c>
      <c r="E17" s="26" t="n">
        <f aca="false">INDEX(Calc!$D$3:$D$11,MATCH(SMALL(Calc!$H$3:$H$11,8),Calc!$H$3:$H$11,0))</f>
        <v>223</v>
      </c>
      <c r="F17" s="27" t="n">
        <f aca="false">INDEX(Calc!$G$3:$G$11,MATCH(SMALL(Calc!$H$3:$H$11,8),Calc!$H$3:$H$11,0))</f>
        <v>0.7822265625</v>
      </c>
      <c r="G17" s="26" t="n">
        <f aca="false">INDEX(Calc!$F$3:$F$11,MATCH(SMALL(Calc!$H$3:$H$11,8),Calc!$H$3:$H$11,0))</f>
        <v>0</v>
      </c>
      <c r="I17" s="23" t="n">
        <v>8</v>
      </c>
      <c r="J17" s="20" t="str">
        <f aca="false">INDEX(Calc!$A$15:$A$24,MATCH(LARGE(Calc!$Q$15:$Q$24,8),Calc!$Q$15:$Q$24,0))</f>
        <v>Titagudi</v>
      </c>
      <c r="K17" s="24" t="n">
        <f aca="false">INDEX(Calc!$R$15:$R$24,MATCH(LARGE(Calc!$Q$15:$Q$24,8),Calc!$Q$15:$Q$24,0))</f>
        <v>0.815533980582524</v>
      </c>
      <c r="L17" s="24" t="n">
        <f aca="false">INDEX(Calc!$S$15:$S$24,MATCH(LARGE(Calc!$Q$15:$Q$24,8),Calc!$Q$15:$Q$24,0))</f>
        <v>0.798866855524079</v>
      </c>
      <c r="M17" s="24" t="n">
        <f aca="false">INDEX(Calc!$T$15:$T$24,MATCH(LARGE(Calc!$Q$15:$Q$24,8),Calc!$Q$15:$Q$24,0))</f>
        <v>0.468690702087287</v>
      </c>
      <c r="N17" s="24" t="n">
        <f aca="false">INDEX(Calc!$U$15:$U$24,MATCH(LARGE(Calc!$Q$15:$Q$24,8),Calc!$Q$15:$Q$24,0))</f>
        <v>0.448051948051948</v>
      </c>
      <c r="O17" s="24" t="n">
        <f aca="false">INDEX(Calc!$V$15:$V$24,MATCH(LARGE(Calc!$Q$15:$Q$24,8),Calc!$Q$15:$Q$24,0))</f>
        <v>0.452479338842975</v>
      </c>
      <c r="P17" s="24" t="n">
        <f aca="false">INDEX(Calc!$W$15:$W$24,MATCH(LARGE(Calc!$Q$15:$Q$24,8),Calc!$Q$15:$Q$24,0))</f>
        <v>0.370731707317073</v>
      </c>
      <c r="Q17" s="24" t="n">
        <f aca="false">INDEX(Calc!$P$15:$P$24,MATCH(LARGE(Calc!$Q$15:$Q$24,8),Calc!$Q$15:$Q$24,0))</f>
        <v>0.385551629367884</v>
      </c>
      <c r="R17" s="21" t="n">
        <f aca="false">INDEX(Calc!$O$15:$O$24,MATCH(LARGE(Calc!$Q$15:$Q$24,8),Calc!$Q$15:$Q$24,0))</f>
        <v>982</v>
      </c>
    </row>
    <row r="18" customFormat="false" ht="15" hidden="false" customHeight="false" outlineLevel="0" collapsed="false">
      <c r="B18" s="20" t="str">
        <f aca="false">INDEX(Calc!$A$3:$A$11,MATCH(SMALL(Calc!$H$3:$H$11,9),Calc!$H$3:$H$11,0))</f>
        <v>NISD Rural</v>
      </c>
      <c r="C18" s="21" t="n">
        <f aca="false">INDEX(Calc!$B$3:$B$11,MATCH(SMALL(Calc!$H$3:$H$11,9),Calc!$H$3:$H$11,0))</f>
        <v>6738</v>
      </c>
      <c r="D18" s="21" t="n">
        <f aca="false">INDEX(Calc!$C$3:$C$11,MATCH(SMALL(Calc!$H$3:$H$11,9),Calc!$H$3:$H$11,0))</f>
        <v>5284</v>
      </c>
      <c r="E18" s="21" t="n">
        <f aca="false">INDEX(Calc!$D$3:$D$11,MATCH(SMALL(Calc!$H$3:$H$11,9),Calc!$H$3:$H$11,0))</f>
        <v>1454</v>
      </c>
      <c r="F18" s="22" t="n">
        <f aca="false">INDEX(Calc!$G$3:$G$11,MATCH(SMALL(Calc!$H$3:$H$11,9),Calc!$H$3:$H$11,0))</f>
        <v>0.784208964084298</v>
      </c>
      <c r="G18" s="21" t="n">
        <f aca="false">INDEX(Calc!$F$3:$F$11,MATCH(SMALL(Calc!$H$3:$H$11,9),Calc!$H$3:$H$11,0))</f>
        <v>10</v>
      </c>
      <c r="I18" s="23" t="n">
        <v>9</v>
      </c>
      <c r="J18" s="20" t="str">
        <f aca="false">INDEX(Calc!$A$15:$A$24,MATCH(LARGE(Calc!$Q$15:$Q$24,9),Calc!$Q$15:$Q$24,0))</f>
        <v>Cuddalore</v>
      </c>
      <c r="K18" s="24" t="n">
        <f aca="false">INDEX(Calc!$R$15:$R$24,MATCH(LARGE(Calc!$Q$15:$Q$24,9),Calc!$Q$15:$Q$24,0))</f>
        <v>0.750375939849624</v>
      </c>
      <c r="L18" s="24" t="n">
        <f aca="false">INDEX(Calc!$S$15:$S$24,MATCH(LARGE(Calc!$Q$15:$Q$24,9),Calc!$Q$15:$Q$24,0))</f>
        <v>0.728033472803347</v>
      </c>
      <c r="M18" s="24" t="n">
        <f aca="false">INDEX(Calc!$T$15:$T$24,MATCH(LARGE(Calc!$Q$15:$Q$24,9),Calc!$Q$15:$Q$24,0))</f>
        <v>0.627450980392157</v>
      </c>
      <c r="N18" s="24" t="n">
        <f aca="false">INDEX(Calc!$U$15:$U$24,MATCH(LARGE(Calc!$Q$15:$Q$24,9),Calc!$Q$15:$Q$24,0))</f>
        <v>0.520958083832335</v>
      </c>
      <c r="O18" s="24" t="n">
        <f aca="false">INDEX(Calc!$V$15:$V$24,MATCH(LARGE(Calc!$Q$15:$Q$24,9),Calc!$Q$15:$Q$24,0))</f>
        <v>0.342465753424658</v>
      </c>
      <c r="P18" s="24" t="n">
        <f aca="false">INDEX(Calc!$W$15:$W$24,MATCH(LARGE(Calc!$Q$15:$Q$24,9),Calc!$Q$15:$Q$24,0))</f>
        <v>0.421686746987952</v>
      </c>
      <c r="Q18" s="24" t="n">
        <f aca="false">INDEX(Calc!$P$15:$P$24,MATCH(LARGE(Calc!$Q$15:$Q$24,9),Calc!$Q$15:$Q$24,0))</f>
        <v>0.384307445956765</v>
      </c>
      <c r="R18" s="21" t="n">
        <f aca="false">INDEX(Calc!$O$15:$O$24,MATCH(LARGE(Calc!$Q$15:$Q$24,9),Calc!$Q$15:$Q$24,0))</f>
        <v>960</v>
      </c>
    </row>
    <row r="19" customFormat="false" ht="15" hidden="false" customHeight="false" outlineLevel="0" collapsed="false">
      <c r="I19" s="23" t="n">
        <v>10</v>
      </c>
      <c r="J19" s="20" t="str">
        <f aca="false">INDEX(Calc!$A$15:$A$24,MATCH(LARGE(Calc!$Q$15:$Q$24,10),Calc!$Q$15:$Q$24,0))</f>
        <v>Veppur</v>
      </c>
      <c r="K19" s="24" t="n">
        <f aca="false">INDEX(Calc!$R$15:$R$24,MATCH(LARGE(Calc!$Q$15:$Q$24,10),Calc!$Q$15:$Q$24,0))</f>
        <v>0.749654218533887</v>
      </c>
      <c r="L19" s="24" t="n">
        <f aca="false">INDEX(Calc!$S$15:$S$24,MATCH(LARGE(Calc!$Q$15:$Q$24,10),Calc!$Q$15:$Q$24,0))</f>
        <v>0.766519823788546</v>
      </c>
      <c r="M19" s="24" t="n">
        <f aca="false">INDEX(Calc!$T$15:$T$24,MATCH(LARGE(Calc!$Q$15:$Q$24,10),Calc!$Q$15:$Q$24,0))</f>
        <v>0.509715994020927</v>
      </c>
      <c r="N19" s="24" t="n">
        <f aca="false">INDEX(Calc!$U$15:$U$24,MATCH(LARGE(Calc!$Q$15:$Q$24,10),Calc!$Q$15:$Q$24,0))</f>
        <v>0.666666666666667</v>
      </c>
      <c r="O19" s="24" t="n">
        <f aca="false">INDEX(Calc!$V$15:$V$24,MATCH(LARGE(Calc!$Q$15:$Q$24,10),Calc!$Q$15:$Q$24,0))</f>
        <v>0.464</v>
      </c>
      <c r="P19" s="24" t="n">
        <f aca="false">INDEX(Calc!$W$15:$W$24,MATCH(LARGE(Calc!$Q$15:$Q$24,10),Calc!$Q$15:$Q$24,0))</f>
        <v>0.423913043478261</v>
      </c>
      <c r="Q19" s="24" t="n">
        <f aca="false">INDEX(Calc!$P$15:$P$24,MATCH(LARGE(Calc!$Q$15:$Q$24,10),Calc!$Q$15:$Q$24,0))</f>
        <v>0.379277108433735</v>
      </c>
      <c r="R19" s="21" t="n">
        <f aca="false">INDEX(Calc!$O$15:$O$24,MATCH(LARGE(Calc!$Q$15:$Q$24,10),Calc!$Q$15:$Q$24,0))</f>
        <v>787</v>
      </c>
    </row>
    <row r="20" customFormat="false" ht="15" hidden="false" customHeight="false" outlineLevel="0" collapsed="false">
      <c r="I20" s="28"/>
      <c r="J20" s="28" t="s">
        <v>24</v>
      </c>
      <c r="K20" s="29" t="n">
        <f aca="false">Calc!R25</f>
        <v>0.784208964084298</v>
      </c>
      <c r="L20" s="29" t="n">
        <f aca="false">Calc!S25</f>
        <v>0.739463601532567</v>
      </c>
      <c r="M20" s="29" t="n">
        <f aca="false">Calc!T25</f>
        <v>0.534461746784022</v>
      </c>
      <c r="N20" s="29" t="n">
        <f aca="false">Calc!U25</f>
        <v>0.522485207100592</v>
      </c>
      <c r="O20" s="29" t="n">
        <f aca="false">Calc!V25</f>
        <v>0.392511700468019</v>
      </c>
      <c r="P20" s="29" t="n">
        <f aca="false">Calc!W25</f>
        <v>0.373199749530369</v>
      </c>
      <c r="Q20" s="29" t="n">
        <f aca="false">Calc!P25</f>
        <v>0.400025547134463</v>
      </c>
      <c r="R20" s="30" t="n">
        <f aca="false">Calc!O25</f>
        <v>9395</v>
      </c>
    </row>
    <row r="21" customFormat="false" ht="15" hidden="false" customHeight="false" outlineLevel="0" collapsed="false">
      <c r="I21" s="31" t="s">
        <v>25</v>
      </c>
      <c r="J21" s="31"/>
      <c r="K21" s="31"/>
      <c r="L21" s="31"/>
      <c r="M21" s="31"/>
      <c r="N21" s="31"/>
      <c r="O21" s="31"/>
      <c r="P21" s="31"/>
      <c r="Q21" s="31"/>
      <c r="R21" s="31"/>
    </row>
    <row r="23" customFormat="false" ht="15" hidden="false" customHeight="false" outlineLevel="0" collapsed="false">
      <c r="B23" s="18" t="s">
        <v>26</v>
      </c>
      <c r="I23" s="18" t="s">
        <v>27</v>
      </c>
      <c r="O23" s="18" t="s">
        <v>28</v>
      </c>
    </row>
    <row r="24" customFormat="false" ht="22.35" hidden="false" customHeight="true" outlineLevel="0" collapsed="false">
      <c r="B24" s="19" t="s">
        <v>15</v>
      </c>
      <c r="C24" s="19" t="s">
        <v>29</v>
      </c>
      <c r="D24" s="19" t="s">
        <v>30</v>
      </c>
      <c r="E24" s="19" t="s">
        <v>31</v>
      </c>
      <c r="F24" s="19" t="s">
        <v>32</v>
      </c>
      <c r="I24" s="19"/>
      <c r="J24" s="19" t="s">
        <v>10</v>
      </c>
      <c r="K24" s="19" t="s">
        <v>6</v>
      </c>
      <c r="L24" s="19" t="s">
        <v>33</v>
      </c>
      <c r="M24" s="19" t="s">
        <v>13</v>
      </c>
      <c r="O24" s="20" t="s">
        <v>34</v>
      </c>
      <c r="P24" s="32" t="s">
        <v>16</v>
      </c>
      <c r="Q24" s="32"/>
      <c r="R24" s="32"/>
      <c r="T24" s="33" t="n">
        <f aca="false">MATCH(P24,{"NISD Rural","NISD Natham","ISD Rural","ISD Natham"},0)</f>
        <v>1</v>
      </c>
    </row>
    <row r="25" customFormat="false" ht="15" hidden="false" customHeight="true" outlineLevel="0" collapsed="false">
      <c r="B25" s="20" t="str">
        <f aca="false">INDEX(Calc!$A$30:$A$39,MATCH(LARGE(Calc!$D$30:$D$39,1),Calc!$D$30:$D$39,0))</f>
        <v>Panruti</v>
      </c>
      <c r="C25" s="21" t="n">
        <f aca="false">INDEX(Calc!$B$30:$B$39,MATCH(LARGE(Calc!$D$30:$D$39,1),Calc!$D$30:$D$39,0))</f>
        <v>1254</v>
      </c>
      <c r="D25" s="21" t="n">
        <f aca="false">INDEX(Calc!$C$30:$C$39,MATCH(LARGE(Calc!$D$30:$D$39,1),Calc!$D$30:$D$39,0))</f>
        <v>1300</v>
      </c>
      <c r="E25" s="21" t="n">
        <f aca="false">C25-D25</f>
        <v>-46</v>
      </c>
      <c r="F25" s="34" t="n">
        <f aca="false">IFERROR(E25/D25,0)</f>
        <v>-0.0353846153846154</v>
      </c>
      <c r="I25" s="23" t="n">
        <v>1</v>
      </c>
      <c r="J25" s="20" t="str">
        <f aca="false">INDEX(Calc!$A$3:$A$11,MATCH(LARGE(Calc!$I$3:$I$11,1),Calc!$I$3:$I$11,0))</f>
        <v>ISD Rural</v>
      </c>
      <c r="K25" s="21" t="n">
        <f aca="false">INDEX(Calc!$D$3:$D$11,MATCH(LARGE(Calc!$I$3:$I$11,1),Calc!$I$3:$I$11,0))</f>
        <v>3438</v>
      </c>
      <c r="L25" s="21" t="n">
        <f aca="false">INDEX(Calc!$E$3:$E$11,MATCH(LARGE(Calc!$I$3:$I$11,1),Calc!$I$3:$I$11,0))</f>
        <v>3401</v>
      </c>
      <c r="M25" s="21" t="n">
        <f aca="false">INDEX(Calc!$F$3:$F$11,MATCH(LARGE(Calc!$I$3:$I$11,1),Calc!$I$3:$I$11,0))</f>
        <v>37</v>
      </c>
      <c r="O25" s="35" t="s">
        <v>35</v>
      </c>
      <c r="P25" s="35"/>
      <c r="Q25" s="19" t="s">
        <v>15</v>
      </c>
      <c r="R25" s="19" t="s">
        <v>36</v>
      </c>
    </row>
    <row r="26" customFormat="false" ht="15" hidden="false" customHeight="false" outlineLevel="0" collapsed="false">
      <c r="B26" s="20" t="str">
        <f aca="false">INDEX(Calc!$A$30:$A$39,MATCH(LARGE(Calc!$D$30:$D$39,2),Calc!$D$30:$D$39,0))</f>
        <v>Cuddalore</v>
      </c>
      <c r="C26" s="21" t="n">
        <f aca="false">INDEX(Calc!$B$30:$B$39,MATCH(LARGE(Calc!$D$30:$D$39,2),Calc!$D$30:$D$39,0))</f>
        <v>1149</v>
      </c>
      <c r="D26" s="21" t="n">
        <f aca="false">INDEX(Calc!$C$30:$C$39,MATCH(LARGE(Calc!$D$30:$D$39,2),Calc!$D$30:$D$39,0))</f>
        <v>1165</v>
      </c>
      <c r="E26" s="21" t="n">
        <f aca="false">C26-D26</f>
        <v>-16</v>
      </c>
      <c r="F26" s="34" t="n">
        <f aca="false">IFERROR(E26/D26,0)</f>
        <v>-0.0137339055793991</v>
      </c>
      <c r="I26" s="23" t="n">
        <v>2</v>
      </c>
      <c r="J26" s="20" t="str">
        <f aca="false">INDEX(Calc!$A$3:$A$11,MATCH(LARGE(Calc!$I$3:$I$11,2),Calc!$I$3:$I$11,0))</f>
        <v>F-Line Rural</v>
      </c>
      <c r="K26" s="21" t="n">
        <f aca="false">INDEX(Calc!$D$3:$D$11,MATCH(LARGE(Calc!$I$3:$I$11,2),Calc!$I$3:$I$11,0))</f>
        <v>1947</v>
      </c>
      <c r="L26" s="21" t="n">
        <f aca="false">INDEX(Calc!$E$3:$E$11,MATCH(LARGE(Calc!$I$3:$I$11,2),Calc!$I$3:$I$11,0))</f>
        <v>942</v>
      </c>
      <c r="M26" s="21" t="n">
        <f aca="false">INDEX(Calc!$F$3:$F$11,MATCH(LARGE(Calc!$I$3:$I$11,2),Calc!$I$3:$I$11,0))</f>
        <v>1005</v>
      </c>
      <c r="O26" s="20" t="str">
        <f aca="false">"1. "&amp;PROPER(INDEX(Calc!$V$44:$V$93,MATCH(LARGE(Calc!$X$44:$X$93,1),Calc!$X$44:$X$93,0)))</f>
        <v>1. Vegakollai</v>
      </c>
      <c r="P26" s="20"/>
      <c r="Q26" s="36" t="str">
        <f aca="false">PROPER(INDEX(Calc!$U$44:$U$93,MATCH(LARGE(Calc!$X$44:$X$93,1),Calc!$X$44:$X$93,0)))</f>
        <v>Panruti</v>
      </c>
      <c r="R26" s="37" t="n">
        <f aca="false">INDEX(Calc!$W$44:$W$93,MATCH(LARGE(Calc!$X$44:$X$93,1),Calc!$X$44:$X$93,0))</f>
        <v>21</v>
      </c>
    </row>
    <row r="27" customFormat="false" ht="15" hidden="false" customHeight="false" outlineLevel="0" collapsed="false">
      <c r="B27" s="20" t="str">
        <f aca="false">INDEX(Calc!$A$30:$A$39,MATCH(LARGE(Calc!$D$30:$D$39,3),Calc!$D$30:$D$39,0))</f>
        <v>Virudhachalam</v>
      </c>
      <c r="C27" s="21" t="n">
        <f aca="false">INDEX(Calc!$B$30:$B$39,MATCH(LARGE(Calc!$D$30:$D$39,3),Calc!$D$30:$D$39,0))</f>
        <v>1108</v>
      </c>
      <c r="D27" s="21" t="n">
        <f aca="false">INDEX(Calc!$C$30:$C$39,MATCH(LARGE(Calc!$D$30:$D$39,3),Calc!$D$30:$D$39,0))</f>
        <v>1188</v>
      </c>
      <c r="E27" s="21" t="n">
        <f aca="false">C27-D27</f>
        <v>-80</v>
      </c>
      <c r="F27" s="34" t="n">
        <f aca="false">IFERROR(E27/D27,0)</f>
        <v>-0.0673400673400673</v>
      </c>
      <c r="I27" s="23" t="n">
        <v>3</v>
      </c>
      <c r="J27" s="20" t="str">
        <f aca="false">INDEX(Calc!$A$3:$A$11,MATCH(LARGE(Calc!$I$3:$I$11,3),Calc!$I$3:$I$11,0))</f>
        <v>NISD Rural</v>
      </c>
      <c r="K27" s="21" t="n">
        <f aca="false">INDEX(Calc!$D$3:$D$11,MATCH(LARGE(Calc!$I$3:$I$11,3),Calc!$I$3:$I$11,0))</f>
        <v>1454</v>
      </c>
      <c r="L27" s="21" t="n">
        <f aca="false">INDEX(Calc!$E$3:$E$11,MATCH(LARGE(Calc!$I$3:$I$11,3),Calc!$I$3:$I$11,0))</f>
        <v>1444</v>
      </c>
      <c r="M27" s="21" t="n">
        <f aca="false">INDEX(Calc!$F$3:$F$11,MATCH(LARGE(Calc!$I$3:$I$11,3),Calc!$I$3:$I$11,0))</f>
        <v>10</v>
      </c>
      <c r="O27" s="20" t="str">
        <f aca="false">"2. "&amp;PROPER(INDEX(Calc!$V$44:$V$93,MATCH(LARGE(Calc!$X$44:$X$93,2),Calc!$X$44:$X$93,0)))</f>
        <v>2. Vallam</v>
      </c>
      <c r="P27" s="20"/>
      <c r="Q27" s="36" t="str">
        <f aca="false">PROPER(INDEX(Calc!$U$44:$U$93,MATCH(LARGE(Calc!$X$44:$X$93,2),Calc!$X$44:$X$93,0)))</f>
        <v>Panruti</v>
      </c>
      <c r="R27" s="37" t="n">
        <f aca="false">INDEX(Calc!$W$44:$W$93,MATCH(LARGE(Calc!$X$44:$X$93,2),Calc!$X$44:$X$93,0))</f>
        <v>14</v>
      </c>
    </row>
    <row r="28" customFormat="false" ht="15" hidden="false" customHeight="false" outlineLevel="0" collapsed="false">
      <c r="B28" s="20" t="str">
        <f aca="false">INDEX(Calc!$A$30:$A$39,MATCH(LARGE(Calc!$D$30:$D$39,4),Calc!$D$30:$D$39,0))</f>
        <v>Kurinjipadi</v>
      </c>
      <c r="C28" s="21" t="n">
        <f aca="false">INDEX(Calc!$B$30:$B$39,MATCH(LARGE(Calc!$D$30:$D$39,4),Calc!$D$30:$D$39,0))</f>
        <v>755</v>
      </c>
      <c r="D28" s="21" t="n">
        <f aca="false">INDEX(Calc!$C$30:$C$39,MATCH(LARGE(Calc!$D$30:$D$39,4),Calc!$D$30:$D$39,0))</f>
        <v>921</v>
      </c>
      <c r="E28" s="21" t="n">
        <f aca="false">C28-D28</f>
        <v>-166</v>
      </c>
      <c r="F28" s="34" t="n">
        <f aca="false">IFERROR(E28/D28,0)</f>
        <v>-0.180238870792617</v>
      </c>
      <c r="I28" s="23" t="n">
        <v>4</v>
      </c>
      <c r="J28" s="20" t="str">
        <f aca="false">INDEX(Calc!$A$3:$A$11,MATCH(LARGE(Calc!$I$3:$I$11,4),Calc!$I$3:$I$11,0))</f>
        <v>F-Line Natham</v>
      </c>
      <c r="K28" s="21" t="n">
        <f aca="false">INDEX(Calc!$D$3:$D$11,MATCH(LARGE(Calc!$I$3:$I$11,4),Calc!$I$3:$I$11,0))</f>
        <v>1001</v>
      </c>
      <c r="L28" s="21" t="n">
        <f aca="false">INDEX(Calc!$E$3:$E$11,MATCH(LARGE(Calc!$I$3:$I$11,4),Calc!$I$3:$I$11,0))</f>
        <v>529</v>
      </c>
      <c r="M28" s="21" t="n">
        <f aca="false">INDEX(Calc!$F$3:$F$11,MATCH(LARGE(Calc!$I$3:$I$11,4),Calc!$I$3:$I$11,0))</f>
        <v>472</v>
      </c>
      <c r="O28" s="20" t="str">
        <f aca="false">"3. "&amp;PROPER(INDEX(Calc!$V$44:$V$93,MATCH(LARGE(Calc!$X$44:$X$93,3),Calc!$X$44:$X$93,0)))</f>
        <v>3. Vadakuthu</v>
      </c>
      <c r="P28" s="20"/>
      <c r="Q28" s="36" t="str">
        <f aca="false">PROPER(INDEX(Calc!$U$44:$U$93,MATCH(LARGE(Calc!$X$44:$X$93,3),Calc!$X$44:$X$93,0)))</f>
        <v>Kurinjipadi</v>
      </c>
      <c r="R28" s="37" t="n">
        <f aca="false">INDEX(Calc!$W$44:$W$93,MATCH(LARGE(Calc!$X$44:$X$93,3),Calc!$X$44:$X$93,0))</f>
        <v>10</v>
      </c>
    </row>
    <row r="29" customFormat="false" ht="15" hidden="false" customHeight="false" outlineLevel="0" collapsed="false">
      <c r="B29" s="20" t="str">
        <f aca="false">INDEX(Calc!$A$30:$A$39,MATCH(LARGE(Calc!$D$30:$D$39,5),Calc!$D$30:$D$39,0))</f>
        <v>Chidambaram</v>
      </c>
      <c r="C29" s="21" t="n">
        <f aca="false">INDEX(Calc!$B$30:$B$39,MATCH(LARGE(Calc!$D$30:$D$39,5),Calc!$D$30:$D$39,0))</f>
        <v>678</v>
      </c>
      <c r="D29" s="21" t="n">
        <f aca="false">INDEX(Calc!$C$30:$C$39,MATCH(LARGE(Calc!$D$30:$D$39,5),Calc!$D$30:$D$39,0))</f>
        <v>823</v>
      </c>
      <c r="E29" s="21" t="n">
        <f aca="false">C29-D29</f>
        <v>-145</v>
      </c>
      <c r="F29" s="34" t="n">
        <f aca="false">IFERROR(E29/D29,0)</f>
        <v>-0.176184690157959</v>
      </c>
      <c r="I29" s="23" t="n">
        <v>5</v>
      </c>
      <c r="J29" s="20" t="str">
        <f aca="false">INDEX(Calc!$A$3:$A$11,MATCH(LARGE(Calc!$I$3:$I$11,5),Calc!$I$3:$I$11,0))</f>
        <v>ISD Natham</v>
      </c>
      <c r="K29" s="21" t="n">
        <f aca="false">INDEX(Calc!$D$3:$D$11,MATCH(LARGE(Calc!$I$3:$I$11,5),Calc!$I$3:$I$11,0))</f>
        <v>807</v>
      </c>
      <c r="L29" s="21" t="n">
        <f aca="false">INDEX(Calc!$E$3:$E$11,MATCH(LARGE(Calc!$I$3:$I$11,5),Calc!$I$3:$I$11,0))</f>
        <v>807</v>
      </c>
      <c r="M29" s="21" t="n">
        <f aca="false">INDEX(Calc!$F$3:$F$11,MATCH(LARGE(Calc!$I$3:$I$11,5),Calc!$I$3:$I$11,0))</f>
        <v>0</v>
      </c>
      <c r="O29" s="20" t="str">
        <f aca="false">"4. "&amp;PROPER(INDEX(Calc!$V$44:$V$93,MATCH(LARGE(Calc!$X$44:$X$93,4),Calc!$X$44:$X$93,0)))</f>
        <v>4. Melmampattu</v>
      </c>
      <c r="P29" s="20"/>
      <c r="Q29" s="36" t="str">
        <f aca="false">PROPER(INDEX(Calc!$U$44:$U$93,MATCH(LARGE(Calc!$X$44:$X$93,4),Calc!$X$44:$X$93,0)))</f>
        <v>Panruti</v>
      </c>
      <c r="R29" s="37" t="n">
        <f aca="false">INDEX(Calc!$W$44:$W$93,MATCH(LARGE(Calc!$X$44:$X$93,4),Calc!$X$44:$X$93,0))</f>
        <v>9</v>
      </c>
    </row>
    <row r="30" customFormat="false" ht="15" hidden="false" customHeight="false" outlineLevel="0" collapsed="false">
      <c r="B30" s="20" t="str">
        <f aca="false">INDEX(Calc!$A$30:$A$39,MATCH(LARGE(Calc!$D$30:$D$39,6),Calc!$D$30:$D$39,0))</f>
        <v>Bhuvanagiri</v>
      </c>
      <c r="C30" s="21" t="n">
        <f aca="false">INDEX(Calc!$B$30:$B$39,MATCH(LARGE(Calc!$D$30:$D$39,6),Calc!$D$30:$D$39,0))</f>
        <v>537</v>
      </c>
      <c r="D30" s="21" t="n">
        <f aca="false">INDEX(Calc!$C$30:$C$39,MATCH(LARGE(Calc!$D$30:$D$39,6),Calc!$D$30:$D$39,0))</f>
        <v>686</v>
      </c>
      <c r="E30" s="21" t="n">
        <f aca="false">C30-D30</f>
        <v>-149</v>
      </c>
      <c r="F30" s="34" t="n">
        <f aca="false">IFERROR(E30/D30,0)</f>
        <v>-0.217201166180758</v>
      </c>
      <c r="I30" s="23" t="n">
        <v>6</v>
      </c>
      <c r="J30" s="20" t="str">
        <f aca="false">INDEX(Calc!$A$3:$A$11,MATCH(LARGE(Calc!$I$3:$I$11,6),Calc!$I$3:$I$11,0))</f>
        <v>NISD Natham</v>
      </c>
      <c r="K30" s="21" t="n">
        <f aca="false">INDEX(Calc!$D$3:$D$11,MATCH(LARGE(Calc!$I$3:$I$11,6),Calc!$I$3:$I$11,0))</f>
        <v>748</v>
      </c>
      <c r="L30" s="21" t="n">
        <f aca="false">INDEX(Calc!$E$3:$E$11,MATCH(LARGE(Calc!$I$3:$I$11,6),Calc!$I$3:$I$11,0))</f>
        <v>748</v>
      </c>
      <c r="M30" s="21" t="n">
        <f aca="false">INDEX(Calc!$F$3:$F$11,MATCH(LARGE(Calc!$I$3:$I$11,6),Calc!$I$3:$I$11,0))</f>
        <v>0</v>
      </c>
      <c r="O30" s="20" t="str">
        <f aca="false">"5. "&amp;PROPER(INDEX(Calc!$V$44:$V$93,MATCH(LARGE(Calc!$X$44:$X$93,5),Calc!$X$44:$X$93,0)))</f>
        <v>5. Parvathipuram</v>
      </c>
      <c r="P30" s="20"/>
      <c r="Q30" s="36" t="str">
        <f aca="false">PROPER(INDEX(Calc!$U$44:$U$93,MATCH(LARGE(Calc!$X$44:$X$93,5),Calc!$X$44:$X$93,0)))</f>
        <v>Kurinjipadi</v>
      </c>
      <c r="R30" s="37" t="n">
        <f aca="false">INDEX(Calc!$W$44:$W$93,MATCH(LARGE(Calc!$X$44:$X$93,5),Calc!$X$44:$X$93,0))</f>
        <v>9</v>
      </c>
    </row>
    <row r="31" customFormat="false" ht="15" hidden="false" customHeight="false" outlineLevel="0" collapsed="false">
      <c r="B31" s="20" t="str">
        <f aca="false">INDEX(Calc!$A$30:$A$39,MATCH(LARGE(Calc!$D$30:$D$39,7),Calc!$D$30:$D$39,0))</f>
        <v>Veppur</v>
      </c>
      <c r="C31" s="21" t="n">
        <f aca="false">INDEX(Calc!$B$30:$B$39,MATCH(LARGE(Calc!$D$30:$D$39,7),Calc!$D$30:$D$39,0))</f>
        <v>509</v>
      </c>
      <c r="D31" s="21" t="n">
        <f aca="false">INDEX(Calc!$C$30:$C$39,MATCH(LARGE(Calc!$D$30:$D$39,7),Calc!$D$30:$D$39,0))</f>
        <v>621</v>
      </c>
      <c r="E31" s="21" t="n">
        <f aca="false">C31-D31</f>
        <v>-112</v>
      </c>
      <c r="F31" s="34" t="n">
        <f aca="false">IFERROR(E31/D31,0)</f>
        <v>-0.180354267310789</v>
      </c>
      <c r="I31" s="23" t="n">
        <v>7</v>
      </c>
      <c r="J31" s="20" t="str">
        <f aca="false">INDEX(Calc!$A$3:$A$11,MATCH(LARGE(Calc!$I$3:$I$11,7),Calc!$I$3:$I$11,0))</f>
        <v>ISD Urban</v>
      </c>
      <c r="K31" s="21" t="n">
        <f aca="false">INDEX(Calc!$D$3:$D$11,MATCH(LARGE(Calc!$I$3:$I$11,7),Calc!$I$3:$I$11,0))</f>
        <v>380</v>
      </c>
      <c r="L31" s="21" t="n">
        <f aca="false">INDEX(Calc!$E$3:$E$11,MATCH(LARGE(Calc!$I$3:$I$11,7),Calc!$I$3:$I$11,0))</f>
        <v>380</v>
      </c>
      <c r="M31" s="21" t="n">
        <f aca="false">INDEX(Calc!$F$3:$F$11,MATCH(LARGE(Calc!$I$3:$I$11,7),Calc!$I$3:$I$11,0))</f>
        <v>0</v>
      </c>
      <c r="O31" s="20" t="str">
        <f aca="false">"6. "&amp;PROPER(INDEX(Calc!$V$44:$V$93,MATCH(LARGE(Calc!$X$44:$X$93,6),Calc!$X$44:$X$93,0)))</f>
        <v>6. Marungur</v>
      </c>
      <c r="P31" s="20"/>
      <c r="Q31" s="36" t="str">
        <f aca="false">PROPER(INDEX(Calc!$U$44:$U$93,MATCH(LARGE(Calc!$X$44:$X$93,6),Calc!$X$44:$X$93,0)))</f>
        <v>Panruti</v>
      </c>
      <c r="R31" s="37" t="n">
        <f aca="false">INDEX(Calc!$W$44:$W$93,MATCH(LARGE(Calc!$X$44:$X$93,6),Calc!$X$44:$X$93,0))</f>
        <v>8</v>
      </c>
    </row>
    <row r="32" customFormat="false" ht="15" hidden="false" customHeight="false" outlineLevel="0" collapsed="false">
      <c r="B32" s="20" t="str">
        <f aca="false">INDEX(Calc!$A$30:$A$39,MATCH(LARGE(Calc!$D$30:$D$39,8),Calc!$D$30:$D$39,0))</f>
        <v>Titakudi</v>
      </c>
      <c r="C32" s="21" t="n">
        <f aca="false">INDEX(Calc!$B$30:$B$39,MATCH(LARGE(Calc!$D$30:$D$39,8),Calc!$D$30:$D$39,0))</f>
        <v>485</v>
      </c>
      <c r="D32" s="21" t="n">
        <f aca="false">INDEX(Calc!$C$30:$C$39,MATCH(LARGE(Calc!$D$30:$D$39,8),Calc!$D$30:$D$39,0))</f>
        <v>576</v>
      </c>
      <c r="E32" s="21" t="n">
        <f aca="false">C32-D32</f>
        <v>-91</v>
      </c>
      <c r="F32" s="34" t="n">
        <f aca="false">IFERROR(E32/D32,0)</f>
        <v>-0.157986111111111</v>
      </c>
      <c r="I32" s="23" t="n">
        <v>8</v>
      </c>
      <c r="J32" s="20" t="str">
        <f aca="false">INDEX(Calc!$A$3:$A$11,MATCH(LARGE(Calc!$I$3:$I$11,8),Calc!$I$3:$I$11,0))</f>
        <v>NISD Urban</v>
      </c>
      <c r="K32" s="21" t="n">
        <f aca="false">INDEX(Calc!$D$3:$D$11,MATCH(LARGE(Calc!$I$3:$I$11,8),Calc!$I$3:$I$11,0))</f>
        <v>223</v>
      </c>
      <c r="L32" s="21" t="n">
        <f aca="false">INDEX(Calc!$E$3:$E$11,MATCH(LARGE(Calc!$I$3:$I$11,8),Calc!$I$3:$I$11,0))</f>
        <v>223</v>
      </c>
      <c r="M32" s="21" t="n">
        <f aca="false">INDEX(Calc!$F$3:$F$11,MATCH(LARGE(Calc!$I$3:$I$11,8),Calc!$I$3:$I$11,0))</f>
        <v>0</v>
      </c>
      <c r="O32" s="20" t="str">
        <f aca="false">"7. "&amp;PROPER(INDEX(Calc!$V$44:$V$93,MATCH(LARGE(Calc!$X$44:$X$93,7),Calc!$X$44:$X$93,0)))</f>
        <v>7. Keezhur</v>
      </c>
      <c r="P32" s="20"/>
      <c r="Q32" s="36" t="str">
        <f aca="false">PROPER(INDEX(Calc!$U$44:$U$93,MATCH(LARGE(Calc!$X$44:$X$93,7),Calc!$X$44:$X$93,0)))</f>
        <v>Kurinjipadi</v>
      </c>
      <c r="R32" s="37" t="n">
        <f aca="false">INDEX(Calc!$W$44:$W$93,MATCH(LARGE(Calc!$X$44:$X$93,7),Calc!$X$44:$X$93,0))</f>
        <v>8</v>
      </c>
    </row>
    <row r="33" customFormat="false" ht="15" hidden="false" customHeight="false" outlineLevel="0" collapsed="false">
      <c r="B33" s="20" t="str">
        <f aca="false">INDEX(Calc!$A$30:$A$39,MATCH(LARGE(Calc!$D$30:$D$39,9),Calc!$D$30:$D$39,0))</f>
        <v>Kattumannarkoil</v>
      </c>
      <c r="C33" s="21" t="n">
        <f aca="false">INDEX(Calc!$B$30:$B$39,MATCH(LARGE(Calc!$D$30:$D$39,9),Calc!$D$30:$D$39,0))</f>
        <v>434</v>
      </c>
      <c r="D33" s="21" t="n">
        <f aca="false">INDEX(Calc!$C$30:$C$39,MATCH(LARGE(Calc!$D$30:$D$39,9),Calc!$D$30:$D$39,0))</f>
        <v>612</v>
      </c>
      <c r="E33" s="21" t="n">
        <f aca="false">C33-D33</f>
        <v>-178</v>
      </c>
      <c r="F33" s="34" t="n">
        <f aca="false">IFERROR(E33/D33,0)</f>
        <v>-0.290849673202614</v>
      </c>
      <c r="I33" s="23" t="n">
        <v>9</v>
      </c>
      <c r="J33" s="20" t="str">
        <f aca="false">INDEX(Calc!$A$3:$A$11,MATCH(LARGE(Calc!$I$3:$I$11,9),Calc!$I$3:$I$11,0))</f>
        <v>F-Line Urban</v>
      </c>
      <c r="K33" s="21" t="n">
        <f aca="false">INDEX(Calc!$D$3:$D$11,MATCH(LARGE(Calc!$I$3:$I$11,9),Calc!$I$3:$I$11,0))</f>
        <v>118</v>
      </c>
      <c r="L33" s="21" t="n">
        <f aca="false">INDEX(Calc!$E$3:$E$11,MATCH(LARGE(Calc!$I$3:$I$11,9),Calc!$I$3:$I$11,0))</f>
        <v>78</v>
      </c>
      <c r="M33" s="21" t="n">
        <f aca="false">INDEX(Calc!$F$3:$F$11,MATCH(LARGE(Calc!$I$3:$I$11,9),Calc!$I$3:$I$11,0))</f>
        <v>40</v>
      </c>
      <c r="O33" s="20" t="str">
        <f aca="false">"8. "&amp;PROPER(INDEX(Calc!$V$44:$V$93,MATCH(LARGE(Calc!$X$44:$X$93,8),Calc!$X$44:$X$93,0)))</f>
        <v>8. Pinnalur</v>
      </c>
      <c r="P33" s="20"/>
      <c r="Q33" s="36" t="str">
        <f aca="false">PROPER(INDEX(Calc!$U$44:$U$93,MATCH(LARGE(Calc!$X$44:$X$93,8),Calc!$X$44:$X$93,0)))</f>
        <v>Bhuvanagiri</v>
      </c>
      <c r="R33" s="37" t="n">
        <f aca="false">INDEX(Calc!$W$44:$W$93,MATCH(LARGE(Calc!$X$44:$X$93,8),Calc!$X$44:$X$93,0))</f>
        <v>7</v>
      </c>
    </row>
    <row r="34" customFormat="false" ht="15" hidden="false" customHeight="false" outlineLevel="0" collapsed="false">
      <c r="B34" s="20" t="str">
        <f aca="false">INDEX(Calc!$A$30:$A$39,MATCH(LARGE(Calc!$D$30:$D$39,10),Calc!$D$30:$D$39,0))</f>
        <v>Srimushnam</v>
      </c>
      <c r="C34" s="21" t="n">
        <f aca="false">INDEX(Calc!$B$30:$B$39,MATCH(LARGE(Calc!$D$30:$D$39,10),Calc!$D$30:$D$39,0))</f>
        <v>243</v>
      </c>
      <c r="D34" s="21" t="n">
        <f aca="false">INDEX(Calc!$C$30:$C$39,MATCH(LARGE(Calc!$D$30:$D$39,10),Calc!$D$30:$D$39,0))</f>
        <v>327</v>
      </c>
      <c r="E34" s="21" t="n">
        <f aca="false">C34-D34</f>
        <v>-84</v>
      </c>
      <c r="F34" s="34" t="n">
        <f aca="false">IFERROR(E34/D34,0)</f>
        <v>-0.256880733944954</v>
      </c>
    </row>
    <row r="35" customFormat="false" ht="15" hidden="false" customHeight="false" outlineLevel="0" collapsed="false">
      <c r="B35" s="28" t="s">
        <v>37</v>
      </c>
      <c r="C35" s="30" t="n">
        <f aca="false">SUM(C25:C34)</f>
        <v>7152</v>
      </c>
      <c r="D35" s="30" t="n">
        <f aca="false">SUM(D25:D34)</f>
        <v>8219</v>
      </c>
      <c r="E35" s="30" t="n">
        <f aca="false">C35-D35</f>
        <v>-1067</v>
      </c>
      <c r="F35" s="38" t="n">
        <f aca="false">IFERROR(E35/D35,0)</f>
        <v>-0.129821146124833</v>
      </c>
    </row>
    <row r="37" customFormat="false" ht="15" hidden="false" customHeight="false" outlineLevel="0" collapsed="false">
      <c r="B37" s="18" t="s">
        <v>38</v>
      </c>
    </row>
    <row r="38" customFormat="false" ht="15" hidden="false" customHeight="false" outlineLevel="0" collapsed="false">
      <c r="B38" s="39" t="str">
        <f aca="false">"• District handled "&amp;TEXT(B5,"#,##0")&amp;" applications: "&amp;TEXT(SUM(Calc!C3:C11),"#,##0")&amp;" disposed ("&amp;TEXT(E5,"0%")&amp;"), "&amp;TEXT(J5,"#,##0")&amp;" pending."</f>
        <v>• District handled 25,422 applications: 15,306 disposed (60%), 10,116 pending.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customFormat="false" ht="15" hidden="false" customHeight="false" outlineLevel="0" collapsed="false">
      <c r="B39" s="39" t="str">
        <f aca="false">"• Lowest disposal: "&amp;B10&amp;" "&amp;TEXT(F10,"0%")&amp;", "&amp;B11&amp;" "&amp;TEXT(F11,"0%")&amp;". Best: "&amp;B18&amp;" "&amp;TEXT(F18,"0%")&amp;"."</f>
        <v>• Lowest disposal: F-Line Urban 35%, F-Line Natham 37%. Best: NISD Rural 78%.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customFormat="false" ht="15" hidden="false" customHeight="false" outlineLevel="0" collapsed="false">
      <c r="B40" s="39" t="str">
        <f aca="false">"• "&amp;TEXT(N5,"#,##0")&amp;" pending applications are beyond the time limit; "&amp;TEXT(Calc!F9+Calc!F10+Calc!F11,"#,##0")&amp;" of them are F-Line."</f>
        <v>• 1,564 pending applications are beyond the time limit; 1,517 of them are F-Line.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customFormat="false" ht="15" hidden="false" customHeight="false" outlineLevel="0" collapsed="false">
      <c r="B41" s="39" t="str">
        <f aca="false">"• Highest pending share: "&amp;J10&amp;" ("&amp;TEXT(Q10,"0%")&amp;" of its applications); district average "&amp;TEXT(Q20,"0%")&amp;"."</f>
        <v>• Highest pending share: Kattumannarkoil (42% of its applications); district average 40%.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customFormat="false" ht="15" hidden="false" customHeight="false" outlineLevel="0" collapsed="false">
      <c r="B42" s="39" t="str">
        <f aca="false">"• Surveyor disposal: "&amp;TEXT(D35,"#,##0")&amp;" (Aug) to "&amp;TEXT(C35,"#,##0")&amp;" (Sep), "&amp;TEXT(F35,"+0%;-0%")&amp;"."</f>
        <v>• Surveyor disposal: 8,219 (Aug) to 7,152 (Sep), -13%.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</row>
    <row r="43" customFormat="false" ht="15" hidden="false" customHeight="false" outlineLevel="0" collapsed="false">
      <c r="B43" s="39" t="str">
        <f aca="false">"• Data checks: "&amp;Checks!D15&amp;" (see the Checks sheet)."</f>
        <v>• Data checks: 1 issue(s) (see the Checks sheet).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</row>
  </sheetData>
  <mergeCells count="33">
    <mergeCell ref="B1:N1"/>
    <mergeCell ref="O1:R1"/>
    <mergeCell ref="B2:N2"/>
    <mergeCell ref="O2:R2"/>
    <mergeCell ref="B4:D4"/>
    <mergeCell ref="E4:G4"/>
    <mergeCell ref="J4:M4"/>
    <mergeCell ref="N4:R4"/>
    <mergeCell ref="B5:D5"/>
    <mergeCell ref="E5:G5"/>
    <mergeCell ref="J5:M5"/>
    <mergeCell ref="N5:R5"/>
    <mergeCell ref="B6:D6"/>
    <mergeCell ref="E6:G6"/>
    <mergeCell ref="J6:M6"/>
    <mergeCell ref="N6:R6"/>
    <mergeCell ref="I21:R21"/>
    <mergeCell ref="P24:R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B38:R38"/>
    <mergeCell ref="B39:R39"/>
    <mergeCell ref="B40:R40"/>
    <mergeCell ref="B41:R41"/>
    <mergeCell ref="B42:R42"/>
    <mergeCell ref="B43:R43"/>
  </mergeCells>
  <conditionalFormatting sqref="F10:F18">
    <cfRule type="dataBar" priority="2">
      <dataBar showValue="1" minLength="10" maxLength="90">
        <cfvo type="num" val="0"/>
        <cfvo type="num" val="1"/>
        <color rgb="FF2F6DB5"/>
      </dataBar>
      <extLst>
        <ext xmlns:x14="http://schemas.microsoft.com/office/spreadsheetml/2009/9/main" uri="{B025F937-C7B1-47D3-B67F-A62EFF666E3E}">
          <x14:id>{E3E51726-66A7-44E7-96F6-60485DED85E6}</x14:id>
        </ext>
      </extLst>
    </cfRule>
  </conditionalFormatting>
  <conditionalFormatting sqref="G10:G18">
    <cfRule type="cellIs" priority="3" operator="greaterThan" aboveAverage="0" equalAverage="0" bottom="0" percent="0" rank="0" text="" dxfId="0">
      <formula>0</formula>
    </cfRule>
  </conditionalFormatting>
  <conditionalFormatting sqref="K10:P20">
    <cfRule type="cellIs" priority="4" operator="greaterThanOrEqual" aboveAverage="0" equalAverage="0" bottom="0" percent="0" rank="0" text="" dxfId="1">
      <formula>0.75</formula>
    </cfRule>
    <cfRule type="cellIs" priority="5" operator="between" aboveAverage="0" equalAverage="0" bottom="0" percent="0" rank="0" text="" dxfId="2">
      <formula>0.5</formula>
      <formula>0.74999999</formula>
    </cfRule>
    <cfRule type="cellIs" priority="6" operator="lessThan" aboveAverage="0" equalAverage="0" bottom="0" percent="0" rank="0" text="" dxfId="3">
      <formula>0.5</formula>
    </cfRule>
  </conditionalFormatting>
  <conditionalFormatting sqref="Q10:Q20">
    <cfRule type="cellIs" priority="7" operator="lessThanOrEqual" aboveAverage="0" equalAverage="0" bottom="0" percent="0" rank="0" text="" dxfId="1">
      <formula>0.25</formula>
    </cfRule>
    <cfRule type="cellIs" priority="8" operator="between" aboveAverage="0" equalAverage="0" bottom="0" percent="0" rank="0" text="" dxfId="2">
      <formula>0.2500001</formula>
      <formula>0.5</formula>
    </cfRule>
    <cfRule type="cellIs" priority="9" operator="greaterThan" aboveAverage="0" equalAverage="0" bottom="0" percent="0" rank="0" text="" dxfId="3">
      <formula>0.5</formula>
    </cfRule>
  </conditionalFormatting>
  <conditionalFormatting sqref="E25:F35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4">
      <formula>0</formula>
    </cfRule>
  </conditionalFormatting>
  <conditionalFormatting sqref="M25:M33">
    <cfRule type="cellIs" priority="12" operator="greaterThan" aboveAverage="0" equalAverage="0" bottom="0" percent="0" rank="0" text="" dxfId="0">
      <formula>0</formula>
    </cfRule>
  </conditionalFormatting>
  <conditionalFormatting sqref="R26:R33">
    <cfRule type="dataBar" priority="13">
      <dataBar showValue="1" minLength="10" maxLength="90">
        <cfvo type="num" val="0"/>
        <cfvo type="max" val="0"/>
        <color rgb="FF14325C"/>
      </dataBar>
      <extLst>
        <ext xmlns:x14="http://schemas.microsoft.com/office/spreadsheetml/2009/9/main" uri="{B025F937-C7B1-47D3-B67F-A62EFF666E3E}">
          <x14:id>{2A74BB33-BE12-40A6-BB3C-B39BA024E440}</x14:id>
        </ext>
      </extLst>
    </cfRule>
  </conditionalFormatting>
  <conditionalFormatting sqref="B43">
    <cfRule type="expression" priority="14" aboveAverage="0" equalAverage="0" bottom="0" percent="0" rank="0" text="" dxfId="5">
      <formula>ISNUMBER(SEARCH("issue",B43))</formula>
    </cfRule>
  </conditionalFormatting>
  <dataValidations count="1">
    <dataValidation allowBlank="false" errorStyle="stop" operator="between" showDropDown="false" showErrorMessage="false" showInputMessage="false" sqref="P24" type="list">
      <formula1>"NISD Rural,NISD Natham,ISD Rural,ISD Natham"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E51726-66A7-44E7-96F6-60485DED85E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6DB5"/>
              <x14:axisColor rgb="FF000000"/>
            </x14:dataBar>
          </x14:cfRule>
          <xm:sqref>F10:F18</xm:sqref>
        </x14:conditionalFormatting>
        <x14:conditionalFormatting xmlns:xm="http://schemas.microsoft.com/office/excel/2006/main">
          <x14:cfRule type="dataBar" id="{2A74BB33-BE12-40A6-BB3C-B39BA024E440}">
            <x14:dataBar minLength="10" maxLength="90" axisPosition="none" gradient="true">
              <x14:cfvo type="num">
                <xm:f>0</xm:f>
              </x14:cfvo>
              <x14:cfvo type="max"/>
              <x14:negativeFillColor rgb="FF14325C"/>
              <x14:axisColor rgb="FF000000"/>
            </x14:dataBar>
          </x14:cfRule>
          <xm:sqref>R26:R33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true"/>
  </sheetPr>
  <dimension ref="B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44"/>
  </cols>
  <sheetData>
    <row r="1" customFormat="false" ht="33.75" hidden="false" customHeight="true" outlineLevel="0" collapsed="false">
      <c r="B1" s="40" t="s">
        <v>39</v>
      </c>
      <c r="C1" s="40"/>
      <c r="D1" s="40"/>
      <c r="E1" s="40"/>
    </row>
    <row r="2" customFormat="false" ht="19.5" hidden="false" customHeight="true" outlineLevel="0" collapsed="false">
      <c r="B2" s="4" t="s">
        <v>40</v>
      </c>
      <c r="C2" s="4"/>
      <c r="D2" s="4"/>
      <c r="E2" s="4"/>
    </row>
    <row r="4" customFormat="false" ht="21.75" hidden="false" customHeight="true" outlineLevel="0" collapsed="false">
      <c r="B4" s="18" t="s">
        <v>41</v>
      </c>
      <c r="C4" s="18"/>
      <c r="D4" s="18"/>
      <c r="E4" s="18"/>
    </row>
    <row r="5" customFormat="false" ht="19.5" hidden="false" customHeight="true" outlineLevel="0" collapsed="false">
      <c r="B5" s="19" t="s">
        <v>42</v>
      </c>
      <c r="C5" s="19" t="s">
        <v>43</v>
      </c>
      <c r="D5" s="19" t="s">
        <v>44</v>
      </c>
      <c r="E5" s="19" t="s">
        <v>45</v>
      </c>
    </row>
    <row r="6" customFormat="false" ht="45.75" hidden="false" customHeight="true" outlineLevel="0" collapsed="false">
      <c r="B6" s="41" t="s">
        <v>46</v>
      </c>
      <c r="C6" s="42" t="s">
        <v>47</v>
      </c>
      <c r="D6" s="42" t="s">
        <v>48</v>
      </c>
      <c r="E6" s="42" t="s">
        <v>49</v>
      </c>
    </row>
    <row r="7" customFormat="false" ht="31.5" hidden="false" customHeight="true" outlineLevel="0" collapsed="false">
      <c r="B7" s="43" t="s">
        <v>50</v>
      </c>
      <c r="C7" s="44" t="s">
        <v>51</v>
      </c>
      <c r="D7" s="44" t="s">
        <v>52</v>
      </c>
      <c r="E7" s="44" t="s">
        <v>53</v>
      </c>
    </row>
    <row r="8" customFormat="false" ht="31.5" hidden="false" customHeight="true" outlineLevel="0" collapsed="false">
      <c r="B8" s="41" t="s">
        <v>54</v>
      </c>
      <c r="C8" s="42" t="s">
        <v>55</v>
      </c>
      <c r="D8" s="42" t="s">
        <v>56</v>
      </c>
      <c r="E8" s="42" t="s">
        <v>57</v>
      </c>
    </row>
    <row r="9" customFormat="false" ht="31.5" hidden="false" customHeight="true" outlineLevel="0" collapsed="false">
      <c r="B9" s="43" t="s">
        <v>58</v>
      </c>
      <c r="C9" s="44" t="s">
        <v>59</v>
      </c>
      <c r="D9" s="44" t="s">
        <v>60</v>
      </c>
      <c r="E9" s="44" t="s">
        <v>61</v>
      </c>
    </row>
    <row r="10" customFormat="false" ht="31.5" hidden="false" customHeight="true" outlineLevel="0" collapsed="false">
      <c r="B10" s="41" t="s">
        <v>62</v>
      </c>
      <c r="C10" s="42" t="s">
        <v>63</v>
      </c>
      <c r="D10" s="42" t="s">
        <v>64</v>
      </c>
      <c r="E10" s="42" t="s">
        <v>65</v>
      </c>
    </row>
    <row r="12" customFormat="false" ht="21.75" hidden="false" customHeight="true" outlineLevel="0" collapsed="false">
      <c r="B12" s="18" t="s">
        <v>66</v>
      </c>
      <c r="C12" s="18"/>
      <c r="D12" s="18"/>
      <c r="E12" s="18"/>
    </row>
    <row r="13" customFormat="false" ht="19.5" hidden="false" customHeight="true" outlineLevel="0" collapsed="false">
      <c r="B13" s="19" t="s">
        <v>67</v>
      </c>
      <c r="C13" s="19" t="s">
        <v>68</v>
      </c>
      <c r="D13" s="19" t="s">
        <v>69</v>
      </c>
      <c r="E13" s="19" t="s">
        <v>70</v>
      </c>
    </row>
    <row r="14" customFormat="false" ht="45.75" hidden="false" customHeight="true" outlineLevel="0" collapsed="false">
      <c r="B14" s="41" t="s">
        <v>71</v>
      </c>
      <c r="C14" s="42" t="s">
        <v>72</v>
      </c>
      <c r="D14" s="42" t="s">
        <v>73</v>
      </c>
      <c r="E14" s="42" t="s">
        <v>74</v>
      </c>
    </row>
    <row r="15" customFormat="false" ht="18" hidden="false" customHeight="true" outlineLevel="0" collapsed="false">
      <c r="B15" s="43" t="s">
        <v>75</v>
      </c>
      <c r="C15" s="44" t="s">
        <v>76</v>
      </c>
      <c r="D15" s="44" t="s">
        <v>77</v>
      </c>
      <c r="E15" s="44" t="s">
        <v>77</v>
      </c>
    </row>
    <row r="16" customFormat="false" ht="31.5" hidden="false" customHeight="true" outlineLevel="0" collapsed="false">
      <c r="B16" s="41" t="s">
        <v>78</v>
      </c>
      <c r="C16" s="42" t="s">
        <v>79</v>
      </c>
      <c r="D16" s="42" t="s">
        <v>80</v>
      </c>
      <c r="E16" s="42" t="s">
        <v>81</v>
      </c>
    </row>
    <row r="17" customFormat="false" ht="31.5" hidden="false" customHeight="true" outlineLevel="0" collapsed="false">
      <c r="B17" s="43" t="s">
        <v>82</v>
      </c>
      <c r="C17" s="44" t="s">
        <v>83</v>
      </c>
      <c r="D17" s="44" t="s">
        <v>84</v>
      </c>
      <c r="E17" s="44" t="s">
        <v>84</v>
      </c>
    </row>
    <row r="18" customFormat="false" ht="31.5" hidden="false" customHeight="true" outlineLevel="0" collapsed="false">
      <c r="B18" s="41" t="s">
        <v>85</v>
      </c>
      <c r="C18" s="42" t="s">
        <v>86</v>
      </c>
      <c r="D18" s="42" t="s">
        <v>87</v>
      </c>
      <c r="E18" s="42" t="s">
        <v>88</v>
      </c>
    </row>
    <row r="19" customFormat="false" ht="31.5" hidden="false" customHeight="true" outlineLevel="0" collapsed="false">
      <c r="B19" s="43" t="s">
        <v>89</v>
      </c>
      <c r="C19" s="44" t="s">
        <v>90</v>
      </c>
      <c r="D19" s="44" t="s">
        <v>91</v>
      </c>
      <c r="E19" s="44" t="s">
        <v>81</v>
      </c>
    </row>
    <row r="20" customFormat="false" ht="31.5" hidden="false" customHeight="true" outlineLevel="0" collapsed="false">
      <c r="B20" s="41" t="s">
        <v>92</v>
      </c>
      <c r="C20" s="42" t="s">
        <v>93</v>
      </c>
      <c r="D20" s="42" t="s">
        <v>94</v>
      </c>
      <c r="E20" s="42" t="s">
        <v>95</v>
      </c>
    </row>
    <row r="21" customFormat="false" ht="31.5" hidden="false" customHeight="true" outlineLevel="0" collapsed="false">
      <c r="B21" s="43" t="s">
        <v>96</v>
      </c>
      <c r="C21" s="44" t="s">
        <v>97</v>
      </c>
      <c r="D21" s="44" t="s">
        <v>98</v>
      </c>
      <c r="E21" s="44" t="s">
        <v>99</v>
      </c>
    </row>
    <row r="22" customFormat="false" ht="31.5" hidden="false" customHeight="true" outlineLevel="0" collapsed="false">
      <c r="B22" s="41" t="s">
        <v>100</v>
      </c>
      <c r="C22" s="42" t="s">
        <v>101</v>
      </c>
      <c r="D22" s="42" t="s">
        <v>102</v>
      </c>
      <c r="E22" s="42" t="s">
        <v>103</v>
      </c>
    </row>
    <row r="23" customFormat="false" ht="31.5" hidden="false" customHeight="true" outlineLevel="0" collapsed="false">
      <c r="B23" s="43" t="s">
        <v>104</v>
      </c>
      <c r="C23" s="44" t="s">
        <v>105</v>
      </c>
      <c r="D23" s="44" t="s">
        <v>106</v>
      </c>
      <c r="E23" s="44" t="s">
        <v>107</v>
      </c>
    </row>
    <row r="24" customFormat="false" ht="18" hidden="false" customHeight="true" outlineLevel="0" collapsed="false">
      <c r="B24" s="41" t="s">
        <v>108</v>
      </c>
      <c r="C24" s="42" t="s">
        <v>109</v>
      </c>
      <c r="D24" s="42" t="s">
        <v>110</v>
      </c>
      <c r="E24" s="42" t="s">
        <v>111</v>
      </c>
    </row>
    <row r="25" customFormat="false" ht="31.5" hidden="false" customHeight="true" outlineLevel="0" collapsed="false">
      <c r="B25" s="43" t="s">
        <v>112</v>
      </c>
      <c r="C25" s="44" t="s">
        <v>113</v>
      </c>
      <c r="D25" s="44" t="s">
        <v>114</v>
      </c>
      <c r="E25" s="44" t="s">
        <v>115</v>
      </c>
    </row>
    <row r="27" customFormat="false" ht="21.75" hidden="false" customHeight="true" outlineLevel="0" collapsed="false">
      <c r="B27" s="18" t="s">
        <v>116</v>
      </c>
      <c r="C27" s="18"/>
      <c r="D27" s="18"/>
      <c r="E27" s="18"/>
    </row>
    <row r="28" customFormat="false" ht="19.5" hidden="false" customHeight="true" outlineLevel="0" collapsed="false">
      <c r="B28" s="19" t="s">
        <v>117</v>
      </c>
      <c r="C28" s="19" t="s">
        <v>118</v>
      </c>
      <c r="D28" s="19" t="s">
        <v>119</v>
      </c>
      <c r="E28" s="19" t="s">
        <v>120</v>
      </c>
    </row>
    <row r="29" customFormat="false" ht="31.5" hidden="false" customHeight="true" outlineLevel="0" collapsed="false">
      <c r="B29" s="41" t="s">
        <v>11</v>
      </c>
      <c r="C29" s="42" t="s">
        <v>121</v>
      </c>
      <c r="D29" s="45" t="s">
        <v>122</v>
      </c>
      <c r="E29" s="42" t="s">
        <v>123</v>
      </c>
    </row>
    <row r="30" customFormat="false" ht="18" hidden="false" customHeight="true" outlineLevel="0" collapsed="false">
      <c r="B30" s="43" t="s">
        <v>5</v>
      </c>
      <c r="C30" s="44" t="s">
        <v>124</v>
      </c>
      <c r="D30" s="46" t="s">
        <v>125</v>
      </c>
      <c r="E30" s="44" t="s">
        <v>126</v>
      </c>
    </row>
    <row r="31" customFormat="false" ht="31.5" hidden="false" customHeight="true" outlineLevel="0" collapsed="false">
      <c r="B31" s="41" t="s">
        <v>127</v>
      </c>
      <c r="C31" s="42" t="s">
        <v>128</v>
      </c>
      <c r="D31" s="45" t="s">
        <v>129</v>
      </c>
      <c r="E31" s="42" t="s">
        <v>130</v>
      </c>
    </row>
    <row r="32" customFormat="false" ht="31.5" hidden="false" customHeight="true" outlineLevel="0" collapsed="false">
      <c r="B32" s="43" t="s">
        <v>6</v>
      </c>
      <c r="C32" s="44" t="s">
        <v>131</v>
      </c>
      <c r="D32" s="46" t="s">
        <v>132</v>
      </c>
      <c r="E32" s="44" t="s">
        <v>133</v>
      </c>
    </row>
    <row r="33" customFormat="false" ht="31.5" hidden="false" customHeight="true" outlineLevel="0" collapsed="false">
      <c r="B33" s="41" t="s">
        <v>134</v>
      </c>
      <c r="C33" s="42" t="s">
        <v>135</v>
      </c>
      <c r="D33" s="45" t="s">
        <v>136</v>
      </c>
      <c r="E33" s="42" t="s">
        <v>137</v>
      </c>
    </row>
    <row r="34" customFormat="false" ht="31.5" hidden="false" customHeight="true" outlineLevel="0" collapsed="false">
      <c r="B34" s="43" t="s">
        <v>138</v>
      </c>
      <c r="C34" s="44" t="s">
        <v>139</v>
      </c>
      <c r="D34" s="46" t="s">
        <v>140</v>
      </c>
      <c r="E34" s="44" t="s">
        <v>141</v>
      </c>
    </row>
    <row r="35" customFormat="false" ht="31.5" hidden="false" customHeight="true" outlineLevel="0" collapsed="false">
      <c r="B35" s="41" t="s">
        <v>142</v>
      </c>
      <c r="C35" s="42" t="s">
        <v>143</v>
      </c>
      <c r="D35" s="45" t="s">
        <v>144</v>
      </c>
      <c r="E35" s="42" t="s">
        <v>145</v>
      </c>
    </row>
    <row r="36" customFormat="false" ht="18" hidden="false" customHeight="true" outlineLevel="0" collapsed="false">
      <c r="B36" s="43" t="s">
        <v>146</v>
      </c>
      <c r="C36" s="44" t="s">
        <v>147</v>
      </c>
      <c r="D36" s="46" t="s">
        <v>148</v>
      </c>
      <c r="E36" s="44" t="s">
        <v>149</v>
      </c>
    </row>
    <row r="37" customFormat="false" ht="31.5" hidden="false" customHeight="true" outlineLevel="0" collapsed="false">
      <c r="B37" s="41" t="s">
        <v>150</v>
      </c>
      <c r="C37" s="42" t="s">
        <v>151</v>
      </c>
      <c r="D37" s="45" t="s">
        <v>152</v>
      </c>
      <c r="E37" s="42" t="s">
        <v>153</v>
      </c>
    </row>
    <row r="38" customFormat="false" ht="31.5" hidden="false" customHeight="true" outlineLevel="0" collapsed="false">
      <c r="B38" s="43" t="s">
        <v>154</v>
      </c>
      <c r="C38" s="44" t="s">
        <v>155</v>
      </c>
      <c r="D38" s="46" t="s">
        <v>156</v>
      </c>
      <c r="E38" s="44" t="s">
        <v>157</v>
      </c>
    </row>
    <row r="40" customFormat="false" ht="21.75" hidden="false" customHeight="true" outlineLevel="0" collapsed="false">
      <c r="B40" s="18" t="s">
        <v>158</v>
      </c>
      <c r="C40" s="18"/>
      <c r="D40" s="18"/>
      <c r="E40" s="18"/>
    </row>
    <row r="41" customFormat="false" ht="19.5" hidden="false" customHeight="true" outlineLevel="0" collapsed="false">
      <c r="B41" s="19" t="s">
        <v>159</v>
      </c>
      <c r="C41" s="19" t="s">
        <v>160</v>
      </c>
      <c r="D41" s="19" t="s">
        <v>161</v>
      </c>
      <c r="E41" s="19"/>
    </row>
    <row r="42" customFormat="false" ht="31.5" hidden="false" customHeight="true" outlineLevel="0" collapsed="false">
      <c r="B42" s="41" t="s">
        <v>162</v>
      </c>
      <c r="C42" s="42" t="s">
        <v>163</v>
      </c>
      <c r="D42" s="42" t="s">
        <v>164</v>
      </c>
      <c r="E42" s="42"/>
    </row>
    <row r="43" customFormat="false" ht="31.5" hidden="false" customHeight="true" outlineLevel="0" collapsed="false">
      <c r="B43" s="43" t="s">
        <v>165</v>
      </c>
      <c r="C43" s="44" t="s">
        <v>166</v>
      </c>
      <c r="D43" s="44" t="s">
        <v>167</v>
      </c>
      <c r="E43" s="44"/>
    </row>
    <row r="44" customFormat="false" ht="31.5" hidden="false" customHeight="true" outlineLevel="0" collapsed="false">
      <c r="B44" s="41" t="s">
        <v>168</v>
      </c>
      <c r="C44" s="42" t="s">
        <v>169</v>
      </c>
      <c r="D44" s="42" t="s">
        <v>170</v>
      </c>
      <c r="E44" s="42"/>
    </row>
    <row r="45" customFormat="false" ht="31.5" hidden="false" customHeight="true" outlineLevel="0" collapsed="false">
      <c r="B45" s="43" t="s">
        <v>171</v>
      </c>
      <c r="C45" s="44" t="s">
        <v>172</v>
      </c>
      <c r="D45" s="44" t="s">
        <v>173</v>
      </c>
      <c r="E45" s="44"/>
    </row>
    <row r="46" customFormat="false" ht="31.5" hidden="false" customHeight="true" outlineLevel="0" collapsed="false">
      <c r="B46" s="41" t="s">
        <v>174</v>
      </c>
      <c r="C46" s="42" t="s">
        <v>175</v>
      </c>
      <c r="D46" s="42" t="s">
        <v>176</v>
      </c>
      <c r="E46" s="42"/>
    </row>
    <row r="47" customFormat="false" ht="31.5" hidden="false" customHeight="true" outlineLevel="0" collapsed="false">
      <c r="B47" s="43" t="s">
        <v>28</v>
      </c>
      <c r="C47" s="44" t="s">
        <v>177</v>
      </c>
      <c r="D47" s="44" t="s">
        <v>178</v>
      </c>
      <c r="E47" s="44"/>
    </row>
    <row r="48" customFormat="false" ht="18" hidden="false" customHeight="true" outlineLevel="0" collapsed="false">
      <c r="B48" s="41" t="s">
        <v>179</v>
      </c>
      <c r="C48" s="42" t="s">
        <v>180</v>
      </c>
      <c r="D48" s="42" t="s">
        <v>181</v>
      </c>
      <c r="E48" s="42"/>
    </row>
    <row r="49" customFormat="false" ht="18" hidden="false" customHeight="true" outlineLevel="0" collapsed="false">
      <c r="B49" s="43" t="s">
        <v>182</v>
      </c>
      <c r="C49" s="44" t="s">
        <v>183</v>
      </c>
      <c r="D49" s="44" t="s">
        <v>184</v>
      </c>
      <c r="E49" s="44"/>
    </row>
    <row r="51" customFormat="false" ht="21.75" hidden="false" customHeight="true" outlineLevel="0" collapsed="false">
      <c r="B51" s="18" t="s">
        <v>185</v>
      </c>
      <c r="C51" s="18"/>
      <c r="D51" s="18"/>
      <c r="E51" s="18"/>
    </row>
    <row r="52" customFormat="false" ht="18" hidden="false" customHeight="true" outlineLevel="0" collapsed="false">
      <c r="B52" s="47" t="s">
        <v>186</v>
      </c>
      <c r="C52" s="47"/>
      <c r="D52" s="47"/>
      <c r="E52" s="47"/>
    </row>
    <row r="53" customFormat="false" ht="33" hidden="false" customHeight="true" outlineLevel="0" collapsed="false">
      <c r="B53" s="47" t="s">
        <v>187</v>
      </c>
      <c r="C53" s="47"/>
      <c r="D53" s="47"/>
      <c r="E53" s="47"/>
    </row>
    <row r="54" customFormat="false" ht="18" hidden="false" customHeight="true" outlineLevel="0" collapsed="false">
      <c r="B54" s="47" t="s">
        <v>188</v>
      </c>
      <c r="C54" s="47"/>
      <c r="D54" s="47"/>
      <c r="E54" s="47"/>
    </row>
    <row r="55" customFormat="false" ht="18" hidden="false" customHeight="true" outlineLevel="0" collapsed="false">
      <c r="B55" s="47" t="s">
        <v>189</v>
      </c>
      <c r="C55" s="47"/>
      <c r="D55" s="47"/>
      <c r="E55" s="47"/>
    </row>
    <row r="56" customFormat="false" ht="18" hidden="false" customHeight="true" outlineLevel="0" collapsed="false">
      <c r="B56" s="47" t="s">
        <v>190</v>
      </c>
      <c r="C56" s="47"/>
      <c r="D56" s="47"/>
      <c r="E56" s="47"/>
    </row>
    <row r="57" customFormat="false" ht="18" hidden="false" customHeight="true" outlineLevel="0" collapsed="false">
      <c r="B57" s="47" t="s">
        <v>191</v>
      </c>
      <c r="C57" s="47"/>
      <c r="D57" s="47"/>
      <c r="E57" s="47"/>
    </row>
    <row r="58" customFormat="false" ht="18" hidden="false" customHeight="true" outlineLevel="0" collapsed="false">
      <c r="B58" s="47" t="s">
        <v>192</v>
      </c>
      <c r="C58" s="47"/>
      <c r="D58" s="47"/>
      <c r="E58" s="47"/>
    </row>
    <row r="60" customFormat="false" ht="21.75" hidden="false" customHeight="true" outlineLevel="0" collapsed="false">
      <c r="B60" s="18" t="s">
        <v>193</v>
      </c>
      <c r="C60" s="18"/>
      <c r="D60" s="18"/>
      <c r="E60" s="18"/>
    </row>
    <row r="61" customFormat="false" ht="33" hidden="false" customHeight="true" outlineLevel="0" collapsed="false">
      <c r="B61" s="47" t="s">
        <v>194</v>
      </c>
      <c r="C61" s="47"/>
      <c r="D61" s="47"/>
      <c r="E61" s="47"/>
    </row>
    <row r="62" customFormat="false" ht="18" hidden="false" customHeight="true" outlineLevel="0" collapsed="false">
      <c r="B62" s="47" t="s">
        <v>195</v>
      </c>
      <c r="C62" s="47"/>
      <c r="D62" s="47"/>
      <c r="E62" s="47"/>
    </row>
    <row r="63" customFormat="false" ht="33" hidden="false" customHeight="true" outlineLevel="0" collapsed="false">
      <c r="B63" s="47" t="s">
        <v>196</v>
      </c>
      <c r="C63" s="47"/>
      <c r="D63" s="47"/>
      <c r="E63" s="47"/>
    </row>
    <row r="64" customFormat="false" ht="18" hidden="false" customHeight="true" outlineLevel="0" collapsed="false">
      <c r="B64" s="47" t="s">
        <v>197</v>
      </c>
      <c r="C64" s="47"/>
      <c r="D64" s="47"/>
      <c r="E64" s="47"/>
    </row>
    <row r="65" customFormat="false" ht="18" hidden="false" customHeight="true" outlineLevel="0" collapsed="false">
      <c r="B65" s="47" t="s">
        <v>198</v>
      </c>
      <c r="C65" s="47"/>
      <c r="D65" s="47"/>
      <c r="E65" s="47"/>
    </row>
    <row r="67" customFormat="false" ht="21.75" hidden="false" customHeight="true" outlineLevel="0" collapsed="false">
      <c r="B67" s="18" t="s">
        <v>199</v>
      </c>
      <c r="C67" s="18"/>
      <c r="D67" s="18"/>
      <c r="E67" s="18"/>
    </row>
    <row r="68" customFormat="false" ht="33" hidden="false" customHeight="true" outlineLevel="0" collapsed="false">
      <c r="B68" s="47" t="s">
        <v>200</v>
      </c>
      <c r="C68" s="47"/>
      <c r="D68" s="47"/>
      <c r="E68" s="47"/>
    </row>
    <row r="69" customFormat="false" ht="33" hidden="false" customHeight="true" outlineLevel="0" collapsed="false">
      <c r="B69" s="47" t="s">
        <v>201</v>
      </c>
      <c r="C69" s="47"/>
      <c r="D69" s="47"/>
      <c r="E69" s="47"/>
    </row>
    <row r="70" customFormat="false" ht="33" hidden="false" customHeight="true" outlineLevel="0" collapsed="false">
      <c r="B70" s="47" t="s">
        <v>202</v>
      </c>
      <c r="C70" s="47"/>
      <c r="D70" s="47"/>
      <c r="E70" s="47"/>
    </row>
    <row r="72" customFormat="false" ht="21.75" hidden="false" customHeight="true" outlineLevel="0" collapsed="false">
      <c r="B72" s="18" t="s">
        <v>203</v>
      </c>
      <c r="C72" s="18"/>
      <c r="D72" s="18"/>
      <c r="E72" s="18"/>
    </row>
    <row r="73" customFormat="false" ht="33" hidden="false" customHeight="true" outlineLevel="0" collapsed="false">
      <c r="B73" s="47" t="s">
        <v>204</v>
      </c>
      <c r="C73" s="47"/>
      <c r="D73" s="47"/>
      <c r="E73" s="47"/>
    </row>
    <row r="74" customFormat="false" ht="19.5" hidden="false" customHeight="true" outlineLevel="0" collapsed="false">
      <c r="B74" s="19" t="s">
        <v>117</v>
      </c>
      <c r="C74" s="19" t="s">
        <v>205</v>
      </c>
      <c r="D74" s="19" t="s">
        <v>206</v>
      </c>
      <c r="E74" s="19" t="s">
        <v>207</v>
      </c>
    </row>
    <row r="75" customFormat="false" ht="45.75" hidden="false" customHeight="true" outlineLevel="0" collapsed="false">
      <c r="B75" s="41" t="s">
        <v>208</v>
      </c>
      <c r="C75" s="42" t="s">
        <v>209</v>
      </c>
      <c r="D75" s="42" t="s">
        <v>210</v>
      </c>
      <c r="E75" s="42" t="s">
        <v>211</v>
      </c>
    </row>
    <row r="76" customFormat="false" ht="45.75" hidden="false" customHeight="true" outlineLevel="0" collapsed="false">
      <c r="B76" s="43" t="s">
        <v>212</v>
      </c>
      <c r="C76" s="44" t="s">
        <v>213</v>
      </c>
      <c r="D76" s="44" t="s">
        <v>214</v>
      </c>
      <c r="E76" s="44" t="s">
        <v>215</v>
      </c>
    </row>
    <row r="77" customFormat="false" ht="31.5" hidden="false" customHeight="true" outlineLevel="0" collapsed="false">
      <c r="B77" s="41" t="s">
        <v>216</v>
      </c>
      <c r="C77" s="42" t="s">
        <v>217</v>
      </c>
      <c r="D77" s="42" t="s">
        <v>218</v>
      </c>
      <c r="E77" s="42" t="s">
        <v>219</v>
      </c>
    </row>
    <row r="78" customFormat="false" ht="31.5" hidden="false" customHeight="true" outlineLevel="0" collapsed="false">
      <c r="B78" s="43" t="s">
        <v>220</v>
      </c>
      <c r="C78" s="44" t="s">
        <v>221</v>
      </c>
      <c r="D78" s="44" t="s">
        <v>222</v>
      </c>
      <c r="E78" s="44" t="s">
        <v>223</v>
      </c>
    </row>
    <row r="79" customFormat="false" ht="45.75" hidden="false" customHeight="true" outlineLevel="0" collapsed="false">
      <c r="B79" s="41" t="s">
        <v>224</v>
      </c>
      <c r="C79" s="42" t="s">
        <v>225</v>
      </c>
      <c r="D79" s="42" t="s">
        <v>226</v>
      </c>
      <c r="E79" s="42" t="s">
        <v>227</v>
      </c>
    </row>
    <row r="80" customFormat="false" ht="87.75" hidden="false" customHeight="true" outlineLevel="0" collapsed="false">
      <c r="B80" s="43" t="s">
        <v>228</v>
      </c>
      <c r="C80" s="44" t="s">
        <v>229</v>
      </c>
      <c r="D80" s="44" t="s">
        <v>230</v>
      </c>
      <c r="E80" s="44" t="s">
        <v>231</v>
      </c>
    </row>
  </sheetData>
  <mergeCells count="35">
    <mergeCell ref="B1:E1"/>
    <mergeCell ref="B2:E2"/>
    <mergeCell ref="B4:E4"/>
    <mergeCell ref="B12:E12"/>
    <mergeCell ref="B27:E27"/>
    <mergeCell ref="B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B51:E51"/>
    <mergeCell ref="B52:E52"/>
    <mergeCell ref="B53:E53"/>
    <mergeCell ref="B54:E54"/>
    <mergeCell ref="B55:E55"/>
    <mergeCell ref="B56:E56"/>
    <mergeCell ref="B57:E57"/>
    <mergeCell ref="B58:E58"/>
    <mergeCell ref="B60:E60"/>
    <mergeCell ref="B61:E61"/>
    <mergeCell ref="B62:E62"/>
    <mergeCell ref="B63:E63"/>
    <mergeCell ref="B64:E64"/>
    <mergeCell ref="B65:E65"/>
    <mergeCell ref="B67:E67"/>
    <mergeCell ref="B68:E68"/>
    <mergeCell ref="B69:E69"/>
    <mergeCell ref="B70:E70"/>
    <mergeCell ref="B72:E72"/>
    <mergeCell ref="B73:E7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14" min="3" style="0" width="11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48" t="s">
        <v>232</v>
      </c>
    </row>
    <row r="2" customFormat="false" ht="15" hidden="false" customHeight="false" outlineLevel="0" collapsed="false">
      <c r="A2" s="49" t="s">
        <v>233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235</v>
      </c>
      <c r="D3" s="19" t="s">
        <v>236</v>
      </c>
      <c r="E3" s="19" t="s">
        <v>11</v>
      </c>
      <c r="F3" s="19" t="s">
        <v>5</v>
      </c>
      <c r="G3" s="19"/>
      <c r="H3" s="19"/>
      <c r="I3" s="19"/>
      <c r="J3" s="19"/>
      <c r="K3" s="19" t="s">
        <v>6</v>
      </c>
      <c r="L3" s="19" t="s">
        <v>237</v>
      </c>
      <c r="M3" s="19"/>
      <c r="N3" s="19"/>
      <c r="O3" s="19" t="s">
        <v>134</v>
      </c>
      <c r="P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50" t="s">
        <v>239</v>
      </c>
      <c r="G4" s="50" t="s">
        <v>240</v>
      </c>
      <c r="H4" s="50" t="s">
        <v>241</v>
      </c>
      <c r="I4" s="50" t="s">
        <v>240</v>
      </c>
      <c r="J4" s="50" t="s">
        <v>242</v>
      </c>
      <c r="K4" s="19"/>
      <c r="L4" s="50" t="s">
        <v>243</v>
      </c>
      <c r="M4" s="50" t="s">
        <v>244</v>
      </c>
      <c r="N4" s="50" t="s">
        <v>245</v>
      </c>
      <c r="O4" s="19"/>
      <c r="P4" s="19"/>
    </row>
    <row r="5" customFormat="false" ht="15" hidden="false" customHeight="false" outlineLevel="0" collapsed="false">
      <c r="A5" s="51" t="n">
        <v>1</v>
      </c>
      <c r="B5" s="52" t="s">
        <v>246</v>
      </c>
      <c r="C5" s="53" t="n">
        <v>112</v>
      </c>
      <c r="D5" s="53" t="n">
        <v>420</v>
      </c>
      <c r="E5" s="21" t="n">
        <f aca="false">C5+D5</f>
        <v>532</v>
      </c>
      <c r="F5" s="53" t="n">
        <v>334</v>
      </c>
      <c r="G5" s="54" t="n">
        <f aca="false">IFERROR(F5/J5,0)</f>
        <v>0.843434343434343</v>
      </c>
      <c r="H5" s="53" t="n">
        <v>62</v>
      </c>
      <c r="I5" s="54" t="n">
        <f aca="false">IFERROR(H5/J5,0)</f>
        <v>0.156565656565657</v>
      </c>
      <c r="J5" s="21" t="n">
        <f aca="false">F5+H5</f>
        <v>396</v>
      </c>
      <c r="K5" s="21" t="n">
        <f aca="false">E5-J5</f>
        <v>136</v>
      </c>
      <c r="L5" s="53" t="n">
        <v>125</v>
      </c>
      <c r="M5" s="53" t="n">
        <v>0</v>
      </c>
      <c r="N5" s="53" t="n">
        <v>0</v>
      </c>
      <c r="O5" s="21" t="n">
        <f aca="false">SUM(M5:N5)</f>
        <v>0</v>
      </c>
      <c r="P5" s="21" t="n">
        <f aca="false">K5-SUM(L5:N5)</f>
        <v>11</v>
      </c>
    </row>
    <row r="6" customFormat="false" ht="15" hidden="false" customHeight="false" outlineLevel="0" collapsed="false">
      <c r="A6" s="55" t="n">
        <v>2</v>
      </c>
      <c r="B6" s="56" t="s">
        <v>247</v>
      </c>
      <c r="C6" s="57" t="n">
        <v>115</v>
      </c>
      <c r="D6" s="57" t="n">
        <v>540</v>
      </c>
      <c r="E6" s="26" t="n">
        <f aca="false">C6+D6</f>
        <v>655</v>
      </c>
      <c r="F6" s="57" t="n">
        <v>446</v>
      </c>
      <c r="G6" s="58" t="n">
        <f aca="false">IFERROR(F6/J6,0)</f>
        <v>0.886679920477137</v>
      </c>
      <c r="H6" s="57" t="n">
        <v>57</v>
      </c>
      <c r="I6" s="58" t="n">
        <f aca="false">IFERROR(H6/J6,0)</f>
        <v>0.113320079522863</v>
      </c>
      <c r="J6" s="26" t="n">
        <f aca="false">F6+H6</f>
        <v>503</v>
      </c>
      <c r="K6" s="26" t="n">
        <f aca="false">E6-J6</f>
        <v>152</v>
      </c>
      <c r="L6" s="57" t="n">
        <v>152</v>
      </c>
      <c r="M6" s="57" t="n">
        <v>0</v>
      </c>
      <c r="N6" s="57" t="n">
        <v>0</v>
      </c>
      <c r="O6" s="26" t="n">
        <f aca="false">SUM(M6:N6)</f>
        <v>0</v>
      </c>
      <c r="P6" s="26" t="n">
        <f aca="false">K6-SUM(L6:N6)</f>
        <v>0</v>
      </c>
    </row>
    <row r="7" customFormat="false" ht="15" hidden="false" customHeight="false" outlineLevel="0" collapsed="false">
      <c r="A7" s="51" t="n">
        <v>3</v>
      </c>
      <c r="B7" s="52" t="s">
        <v>248</v>
      </c>
      <c r="C7" s="53" t="n">
        <v>112</v>
      </c>
      <c r="D7" s="53" t="n">
        <v>553</v>
      </c>
      <c r="E7" s="21" t="n">
        <f aca="false">C7+D7</f>
        <v>665</v>
      </c>
      <c r="F7" s="53" t="n">
        <v>407</v>
      </c>
      <c r="G7" s="54" t="n">
        <f aca="false">IFERROR(F7/J7,0)</f>
        <v>0.81563126252505</v>
      </c>
      <c r="H7" s="53" t="n">
        <v>92</v>
      </c>
      <c r="I7" s="54" t="n">
        <f aca="false">IFERROR(H7/J7,0)</f>
        <v>0.18436873747495</v>
      </c>
      <c r="J7" s="21" t="n">
        <f aca="false">F7+H7</f>
        <v>499</v>
      </c>
      <c r="K7" s="21" t="n">
        <f aca="false">E7-J7</f>
        <v>166</v>
      </c>
      <c r="L7" s="53" t="n">
        <v>166</v>
      </c>
      <c r="M7" s="53" t="n">
        <v>0</v>
      </c>
      <c r="N7" s="53" t="n">
        <v>0</v>
      </c>
      <c r="O7" s="21" t="n">
        <f aca="false">SUM(M7:N7)</f>
        <v>0</v>
      </c>
      <c r="P7" s="21" t="n">
        <f aca="false">K7-SUM(L7:N7)</f>
        <v>0</v>
      </c>
    </row>
    <row r="8" customFormat="false" ht="15" hidden="false" customHeight="false" outlineLevel="0" collapsed="false">
      <c r="A8" s="55" t="n">
        <v>4</v>
      </c>
      <c r="B8" s="56" t="s">
        <v>249</v>
      </c>
      <c r="C8" s="57" t="n">
        <v>159</v>
      </c>
      <c r="D8" s="57" t="n">
        <v>429</v>
      </c>
      <c r="E8" s="26" t="n">
        <f aca="false">C8+D8</f>
        <v>588</v>
      </c>
      <c r="F8" s="57" t="n">
        <v>412</v>
      </c>
      <c r="G8" s="58" t="n">
        <f aca="false">IFERROR(F8/J8,0)</f>
        <v>0.89760348583878</v>
      </c>
      <c r="H8" s="57" t="n">
        <v>47</v>
      </c>
      <c r="I8" s="58" t="n">
        <f aca="false">IFERROR(H8/J8,0)</f>
        <v>0.10239651416122</v>
      </c>
      <c r="J8" s="26" t="n">
        <f aca="false">F8+H8</f>
        <v>459</v>
      </c>
      <c r="K8" s="26" t="n">
        <f aca="false">E8-J8</f>
        <v>129</v>
      </c>
      <c r="L8" s="57" t="n">
        <v>129</v>
      </c>
      <c r="M8" s="57" t="n">
        <v>0</v>
      </c>
      <c r="N8" s="57" t="n">
        <v>0</v>
      </c>
      <c r="O8" s="26" t="n">
        <f aca="false">SUM(M8:N8)</f>
        <v>0</v>
      </c>
      <c r="P8" s="26" t="n">
        <f aca="false">K8-SUM(L8:N8)</f>
        <v>0</v>
      </c>
    </row>
    <row r="9" customFormat="false" ht="15" hidden="false" customHeight="false" outlineLevel="0" collapsed="false">
      <c r="A9" s="51" t="n">
        <v>5</v>
      </c>
      <c r="B9" s="52" t="s">
        <v>250</v>
      </c>
      <c r="C9" s="53" t="n">
        <v>185</v>
      </c>
      <c r="D9" s="53" t="n">
        <v>502</v>
      </c>
      <c r="E9" s="21" t="n">
        <f aca="false">C9+D9</f>
        <v>687</v>
      </c>
      <c r="F9" s="53" t="n">
        <v>432</v>
      </c>
      <c r="G9" s="54" t="n">
        <f aca="false">IFERROR(F9/J9,0)</f>
        <v>0.853754940711462</v>
      </c>
      <c r="H9" s="53" t="n">
        <v>74</v>
      </c>
      <c r="I9" s="54" t="n">
        <f aca="false">IFERROR(H9/J9,0)</f>
        <v>0.146245059288538</v>
      </c>
      <c r="J9" s="21" t="n">
        <f aca="false">F9+H9</f>
        <v>506</v>
      </c>
      <c r="K9" s="21" t="n">
        <f aca="false">E9-J9</f>
        <v>181</v>
      </c>
      <c r="L9" s="53" t="n">
        <v>181</v>
      </c>
      <c r="M9" s="53" t="n">
        <v>0</v>
      </c>
      <c r="N9" s="53" t="n">
        <v>0</v>
      </c>
      <c r="O9" s="21" t="n">
        <f aca="false">SUM(M9:N9)</f>
        <v>0</v>
      </c>
      <c r="P9" s="21" t="n">
        <f aca="false">K9-SUM(L9:N9)</f>
        <v>0</v>
      </c>
    </row>
    <row r="10" customFormat="false" ht="15" hidden="false" customHeight="false" outlineLevel="0" collapsed="false">
      <c r="A10" s="55" t="n">
        <v>6</v>
      </c>
      <c r="B10" s="56" t="s">
        <v>251</v>
      </c>
      <c r="C10" s="57" t="n">
        <v>215</v>
      </c>
      <c r="D10" s="57" t="n">
        <v>761</v>
      </c>
      <c r="E10" s="26" t="n">
        <f aca="false">C10+D10</f>
        <v>976</v>
      </c>
      <c r="F10" s="57" t="n">
        <v>558</v>
      </c>
      <c r="G10" s="58" t="n">
        <f aca="false">IFERROR(F10/J10,0)</f>
        <v>0.776077885952712</v>
      </c>
      <c r="H10" s="57" t="n">
        <v>161</v>
      </c>
      <c r="I10" s="58" t="n">
        <f aca="false">IFERROR(H10/J10,0)</f>
        <v>0.223922114047288</v>
      </c>
      <c r="J10" s="26" t="n">
        <f aca="false">F10+H10</f>
        <v>719</v>
      </c>
      <c r="K10" s="26" t="n">
        <f aca="false">E10-J10</f>
        <v>257</v>
      </c>
      <c r="L10" s="57" t="n">
        <v>248</v>
      </c>
      <c r="M10" s="57" t="n">
        <v>9</v>
      </c>
      <c r="N10" s="57" t="n">
        <v>0</v>
      </c>
      <c r="O10" s="26" t="n">
        <f aca="false">SUM(M10:N10)</f>
        <v>9</v>
      </c>
      <c r="P10" s="26" t="n">
        <f aca="false">K10-SUM(L10:N10)</f>
        <v>0</v>
      </c>
    </row>
    <row r="11" customFormat="false" ht="15" hidden="false" customHeight="false" outlineLevel="0" collapsed="false">
      <c r="A11" s="51" t="n">
        <v>7</v>
      </c>
      <c r="B11" s="52" t="s">
        <v>252</v>
      </c>
      <c r="C11" s="53" t="n">
        <v>88</v>
      </c>
      <c r="D11" s="53" t="n">
        <v>247</v>
      </c>
      <c r="E11" s="21" t="n">
        <f aca="false">C11+D11</f>
        <v>335</v>
      </c>
      <c r="F11" s="53" t="n">
        <v>236</v>
      </c>
      <c r="G11" s="54" t="n">
        <f aca="false">IFERROR(F11/J11,0)</f>
        <v>0.914728682170543</v>
      </c>
      <c r="H11" s="53" t="n">
        <v>22</v>
      </c>
      <c r="I11" s="54" t="n">
        <f aca="false">IFERROR(H11/J11,0)</f>
        <v>0.0852713178294574</v>
      </c>
      <c r="J11" s="21" t="n">
        <f aca="false">F11+H11</f>
        <v>258</v>
      </c>
      <c r="K11" s="21" t="n">
        <f aca="false">E11-J11</f>
        <v>77</v>
      </c>
      <c r="L11" s="53" t="n">
        <v>77</v>
      </c>
      <c r="M11" s="53" t="n">
        <v>0</v>
      </c>
      <c r="N11" s="53" t="n">
        <v>0</v>
      </c>
      <c r="O11" s="21" t="n">
        <f aca="false">SUM(M11:N11)</f>
        <v>0</v>
      </c>
      <c r="P11" s="21" t="n">
        <f aca="false">K11-SUM(L11:N11)</f>
        <v>0</v>
      </c>
    </row>
    <row r="12" customFormat="false" ht="15" hidden="false" customHeight="false" outlineLevel="0" collapsed="false">
      <c r="A12" s="55" t="n">
        <v>8</v>
      </c>
      <c r="B12" s="56" t="s">
        <v>253</v>
      </c>
      <c r="C12" s="57" t="n">
        <v>190</v>
      </c>
      <c r="D12" s="57" t="n">
        <v>634</v>
      </c>
      <c r="E12" s="26" t="n">
        <f aca="false">C12+D12</f>
        <v>824</v>
      </c>
      <c r="F12" s="57" t="n">
        <v>578</v>
      </c>
      <c r="G12" s="58" t="n">
        <f aca="false">IFERROR(F12/J12,0)</f>
        <v>0.860119047619048</v>
      </c>
      <c r="H12" s="57" t="n">
        <v>94</v>
      </c>
      <c r="I12" s="58" t="n">
        <f aca="false">IFERROR(H12/J12,0)</f>
        <v>0.139880952380952</v>
      </c>
      <c r="J12" s="26" t="n">
        <f aca="false">F12+H12</f>
        <v>672</v>
      </c>
      <c r="K12" s="26" t="n">
        <f aca="false">E12-J12</f>
        <v>152</v>
      </c>
      <c r="L12" s="57" t="n">
        <v>152</v>
      </c>
      <c r="M12" s="57" t="n">
        <v>0</v>
      </c>
      <c r="N12" s="57" t="n">
        <v>0</v>
      </c>
      <c r="O12" s="26" t="n">
        <f aca="false">SUM(M12:N12)</f>
        <v>0</v>
      </c>
      <c r="P12" s="26" t="n">
        <f aca="false">K12-SUM(L12:N12)</f>
        <v>0</v>
      </c>
    </row>
    <row r="13" customFormat="false" ht="15" hidden="false" customHeight="false" outlineLevel="0" collapsed="false">
      <c r="A13" s="51" t="n">
        <v>9</v>
      </c>
      <c r="B13" s="52" t="s">
        <v>254</v>
      </c>
      <c r="C13" s="53" t="n">
        <v>199</v>
      </c>
      <c r="D13" s="53" t="n">
        <v>524</v>
      </c>
      <c r="E13" s="21" t="n">
        <f aca="false">C13+D13</f>
        <v>723</v>
      </c>
      <c r="F13" s="53" t="n">
        <v>488</v>
      </c>
      <c r="G13" s="54" t="n">
        <f aca="false">IFERROR(F13/J13,0)</f>
        <v>0.900369003690037</v>
      </c>
      <c r="H13" s="53" t="n">
        <v>54</v>
      </c>
      <c r="I13" s="54" t="n">
        <f aca="false">IFERROR(H13/J13,0)</f>
        <v>0.0996309963099631</v>
      </c>
      <c r="J13" s="21" t="n">
        <f aca="false">F13+H13</f>
        <v>542</v>
      </c>
      <c r="K13" s="21" t="n">
        <f aca="false">E13-J13</f>
        <v>181</v>
      </c>
      <c r="L13" s="53" t="n">
        <v>180</v>
      </c>
      <c r="M13" s="53" t="n">
        <v>1</v>
      </c>
      <c r="N13" s="53" t="n">
        <v>0</v>
      </c>
      <c r="O13" s="21" t="n">
        <f aca="false">SUM(M13:N13)</f>
        <v>1</v>
      </c>
      <c r="P13" s="21" t="n">
        <f aca="false">K13-SUM(L13:N13)</f>
        <v>0</v>
      </c>
    </row>
    <row r="14" customFormat="false" ht="15" hidden="false" customHeight="false" outlineLevel="0" collapsed="false">
      <c r="A14" s="55" t="n">
        <v>10</v>
      </c>
      <c r="B14" s="56" t="s">
        <v>255</v>
      </c>
      <c r="C14" s="57" t="n">
        <v>226</v>
      </c>
      <c r="D14" s="57" t="n">
        <v>527</v>
      </c>
      <c r="E14" s="26" t="n">
        <f aca="false">C14+D14</f>
        <v>753</v>
      </c>
      <c r="F14" s="57" t="n">
        <v>615</v>
      </c>
      <c r="G14" s="58" t="n">
        <f aca="false">IFERROR(F14/J14,0)</f>
        <v>0.842465753424658</v>
      </c>
      <c r="H14" s="57" t="n">
        <v>115</v>
      </c>
      <c r="I14" s="58" t="n">
        <f aca="false">IFERROR(H14/J14,0)</f>
        <v>0.157534246575342</v>
      </c>
      <c r="J14" s="26" t="n">
        <f aca="false">F14+H14</f>
        <v>730</v>
      </c>
      <c r="K14" s="26" t="n">
        <f aca="false">E14-J14</f>
        <v>23</v>
      </c>
      <c r="L14" s="57" t="n">
        <v>23</v>
      </c>
      <c r="M14" s="57" t="n">
        <v>0</v>
      </c>
      <c r="N14" s="57" t="n">
        <v>0</v>
      </c>
      <c r="O14" s="26" t="n">
        <f aca="false">SUM(M14:N14)</f>
        <v>0</v>
      </c>
      <c r="P14" s="26" t="n">
        <f aca="false">K14-SUM(L14:N14)</f>
        <v>0</v>
      </c>
    </row>
    <row r="15" customFormat="false" ht="15" hidden="false" customHeight="false" outlineLevel="0" collapsed="false">
      <c r="A15" s="59"/>
      <c r="B15" s="28" t="s">
        <v>11</v>
      </c>
      <c r="C15" s="30" t="n">
        <f aca="false">SUM(C5:INDEX(C:C,ROW()-1))</f>
        <v>1601</v>
      </c>
      <c r="D15" s="30" t="n">
        <f aca="false">SUM(D5:INDEX(D:D,ROW()-1))</f>
        <v>5137</v>
      </c>
      <c r="E15" s="30" t="n">
        <f aca="false">C15+D15</f>
        <v>6738</v>
      </c>
      <c r="F15" s="30" t="n">
        <f aca="false">SUM(F5:INDEX(F:F,ROW()-1))</f>
        <v>4506</v>
      </c>
      <c r="G15" s="60" t="n">
        <f aca="false">IFERROR(F15/J15,0)</f>
        <v>0.852763058289175</v>
      </c>
      <c r="H15" s="30" t="n">
        <f aca="false">SUM(H5:INDEX(H:H,ROW()-1))</f>
        <v>778</v>
      </c>
      <c r="I15" s="60" t="n">
        <f aca="false">IFERROR(H15/J15,0)</f>
        <v>0.147236941710825</v>
      </c>
      <c r="J15" s="30" t="n">
        <f aca="false">F15+H15</f>
        <v>5284</v>
      </c>
      <c r="K15" s="30" t="n">
        <f aca="false">E15-J15</f>
        <v>1454</v>
      </c>
      <c r="L15" s="30" t="n">
        <f aca="false">SUM(L5:INDEX(L:L,ROW()-1))</f>
        <v>1433</v>
      </c>
      <c r="M15" s="30" t="n">
        <f aca="false">SUM(M5:INDEX(M:M,ROW()-1))</f>
        <v>10</v>
      </c>
      <c r="N15" s="30" t="n">
        <f aca="false">SUM(N5:INDEX(N:N,ROW()-1))</f>
        <v>0</v>
      </c>
      <c r="O15" s="30" t="n">
        <f aca="false">SUM(M15:N15)</f>
        <v>10</v>
      </c>
      <c r="P15" s="30" t="n">
        <f aca="false">K15-SUM(L15:N15)</f>
        <v>11</v>
      </c>
    </row>
    <row r="17" customFormat="false" ht="15" hidden="false" customHeight="false" outlineLevel="0" collapsed="false">
      <c r="A17" s="49" t="s">
        <v>256</v>
      </c>
    </row>
  </sheetData>
  <mergeCells count="10">
    <mergeCell ref="A3:A4"/>
    <mergeCell ref="B3:B4"/>
    <mergeCell ref="C3:C4"/>
    <mergeCell ref="D3:D4"/>
    <mergeCell ref="E3:E4"/>
    <mergeCell ref="F3:J3"/>
    <mergeCell ref="K3:K4"/>
    <mergeCell ref="L3:N3"/>
    <mergeCell ref="O3:O4"/>
    <mergeCell ref="P3:P4"/>
  </mergeCells>
  <conditionalFormatting sqref="P5:P15">
    <cfRule type="cellIs" priority="2" operator="notEqual" aboveAverage="0" equalAverage="0" bottom="0" percent="0" rank="0" text="" dxfId="6">
      <formula>0</formula>
    </cfRule>
  </conditionalFormatting>
  <conditionalFormatting sqref="O5:O15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48" t="s">
        <v>257</v>
      </c>
    </row>
    <row r="2" customFormat="false" ht="22.35" hidden="false" customHeight="false" outlineLevel="0" collapsed="false">
      <c r="A2" s="19" t="s">
        <v>234</v>
      </c>
      <c r="B2" s="19" t="s">
        <v>15</v>
      </c>
      <c r="C2" s="19" t="s">
        <v>258</v>
      </c>
      <c r="D2" s="19" t="s">
        <v>259</v>
      </c>
      <c r="E2" s="19" t="s">
        <v>234</v>
      </c>
      <c r="F2" s="19" t="s">
        <v>15</v>
      </c>
      <c r="G2" s="19" t="s">
        <v>258</v>
      </c>
      <c r="H2" s="19" t="s">
        <v>259</v>
      </c>
    </row>
    <row r="3" customFormat="false" ht="15" hidden="false" customHeight="false" outlineLevel="0" collapsed="false">
      <c r="A3" s="51" t="n">
        <v>1</v>
      </c>
      <c r="B3" s="61" t="s">
        <v>260</v>
      </c>
      <c r="C3" s="61" t="s">
        <v>261</v>
      </c>
      <c r="D3" s="51" t="n">
        <v>7</v>
      </c>
      <c r="E3" s="51" t="n">
        <v>1</v>
      </c>
      <c r="F3" s="61" t="s">
        <v>262</v>
      </c>
      <c r="G3" s="61" t="s">
        <v>263</v>
      </c>
      <c r="H3" s="51" t="n">
        <v>6</v>
      </c>
    </row>
    <row r="4" customFormat="false" ht="15" hidden="false" customHeight="false" outlineLevel="0" collapsed="false">
      <c r="A4" s="51" t="n">
        <v>2</v>
      </c>
      <c r="B4" s="62"/>
      <c r="C4" s="61" t="s">
        <v>264</v>
      </c>
      <c r="D4" s="51" t="n">
        <v>6</v>
      </c>
      <c r="E4" s="51" t="n">
        <v>2</v>
      </c>
      <c r="F4" s="62"/>
      <c r="G4" s="61" t="s">
        <v>265</v>
      </c>
      <c r="H4" s="51" t="n">
        <v>6</v>
      </c>
    </row>
    <row r="5" customFormat="false" ht="15" hidden="false" customHeight="false" outlineLevel="0" collapsed="false">
      <c r="A5" s="51" t="n">
        <v>3</v>
      </c>
      <c r="B5" s="62"/>
      <c r="C5" s="61" t="s">
        <v>266</v>
      </c>
      <c r="D5" s="51" t="n">
        <v>6</v>
      </c>
      <c r="E5" s="51" t="n">
        <v>3</v>
      </c>
      <c r="F5" s="62"/>
      <c r="G5" s="61" t="s">
        <v>267</v>
      </c>
      <c r="H5" s="51" t="n">
        <v>5</v>
      </c>
    </row>
    <row r="6" customFormat="false" ht="15" hidden="false" customHeight="false" outlineLevel="0" collapsed="false">
      <c r="A6" s="51" t="n">
        <v>4</v>
      </c>
      <c r="B6" s="62"/>
      <c r="C6" s="61" t="s">
        <v>268</v>
      </c>
      <c r="D6" s="51" t="n">
        <v>4</v>
      </c>
      <c r="E6" s="51" t="n">
        <v>4</v>
      </c>
      <c r="F6" s="62"/>
      <c r="G6" s="61" t="s">
        <v>269</v>
      </c>
      <c r="H6" s="51" t="n">
        <v>4</v>
      </c>
    </row>
    <row r="7" customFormat="false" ht="15" hidden="false" customHeight="false" outlineLevel="0" collapsed="false">
      <c r="A7" s="51" t="n">
        <v>5</v>
      </c>
      <c r="B7" s="62"/>
      <c r="C7" s="61" t="s">
        <v>270</v>
      </c>
      <c r="D7" s="51" t="n">
        <v>4</v>
      </c>
      <c r="E7" s="51" t="n">
        <v>5</v>
      </c>
      <c r="F7" s="62"/>
      <c r="G7" s="61" t="s">
        <v>271</v>
      </c>
      <c r="H7" s="51" t="n">
        <v>4</v>
      </c>
    </row>
    <row r="8" customFormat="false" ht="15" hidden="false" customHeight="false" outlineLevel="0" collapsed="false">
      <c r="A8" s="55" t="n">
        <v>1</v>
      </c>
      <c r="B8" s="63" t="s">
        <v>272</v>
      </c>
      <c r="C8" s="63" t="s">
        <v>273</v>
      </c>
      <c r="D8" s="55" t="n">
        <v>4</v>
      </c>
      <c r="E8" s="55" t="n">
        <v>1</v>
      </c>
      <c r="F8" s="63" t="s">
        <v>274</v>
      </c>
      <c r="G8" s="63" t="s">
        <v>275</v>
      </c>
      <c r="H8" s="55" t="n">
        <v>5</v>
      </c>
    </row>
    <row r="9" customFormat="false" ht="15" hidden="false" customHeight="false" outlineLevel="0" collapsed="false">
      <c r="A9" s="55" t="n">
        <v>2</v>
      </c>
      <c r="B9" s="64"/>
      <c r="C9" s="63" t="s">
        <v>276</v>
      </c>
      <c r="D9" s="55" t="n">
        <v>3</v>
      </c>
      <c r="E9" s="55" t="n">
        <v>2</v>
      </c>
      <c r="F9" s="64"/>
      <c r="G9" s="63" t="s">
        <v>277</v>
      </c>
      <c r="H9" s="55" t="n">
        <v>4</v>
      </c>
    </row>
    <row r="10" customFormat="false" ht="15" hidden="false" customHeight="false" outlineLevel="0" collapsed="false">
      <c r="A10" s="55" t="n">
        <v>3</v>
      </c>
      <c r="B10" s="64"/>
      <c r="C10" s="63" t="s">
        <v>278</v>
      </c>
      <c r="D10" s="55" t="n">
        <v>3</v>
      </c>
      <c r="E10" s="55" t="n">
        <v>3</v>
      </c>
      <c r="F10" s="64"/>
      <c r="G10" s="63" t="s">
        <v>279</v>
      </c>
      <c r="H10" s="55" t="n">
        <v>4</v>
      </c>
    </row>
    <row r="11" customFormat="false" ht="15" hidden="false" customHeight="false" outlineLevel="0" collapsed="false">
      <c r="A11" s="55" t="n">
        <v>4</v>
      </c>
      <c r="B11" s="64"/>
      <c r="C11" s="63" t="s">
        <v>280</v>
      </c>
      <c r="D11" s="55" t="n">
        <v>2</v>
      </c>
      <c r="E11" s="55" t="n">
        <v>4</v>
      </c>
      <c r="F11" s="64"/>
      <c r="G11" s="63" t="s">
        <v>281</v>
      </c>
      <c r="H11" s="55" t="n">
        <v>4</v>
      </c>
    </row>
    <row r="12" customFormat="false" ht="15" hidden="false" customHeight="false" outlineLevel="0" collapsed="false">
      <c r="A12" s="55" t="n">
        <v>5</v>
      </c>
      <c r="B12" s="64"/>
      <c r="C12" s="63" t="s">
        <v>282</v>
      </c>
      <c r="D12" s="55" t="n">
        <v>2</v>
      </c>
      <c r="E12" s="55" t="n">
        <v>5</v>
      </c>
      <c r="F12" s="64"/>
      <c r="G12" s="63" t="s">
        <v>283</v>
      </c>
      <c r="H12" s="55" t="n">
        <v>3</v>
      </c>
    </row>
    <row r="13" customFormat="false" ht="15" hidden="false" customHeight="false" outlineLevel="0" collapsed="false">
      <c r="A13" s="51" t="n">
        <v>1</v>
      </c>
      <c r="B13" s="61" t="s">
        <v>284</v>
      </c>
      <c r="C13" s="61" t="s">
        <v>285</v>
      </c>
      <c r="D13" s="51" t="n">
        <v>6</v>
      </c>
      <c r="E13" s="51" t="n">
        <v>1</v>
      </c>
      <c r="F13" s="61" t="s">
        <v>286</v>
      </c>
      <c r="G13" s="61" t="s">
        <v>287</v>
      </c>
      <c r="H13" s="51" t="n">
        <v>6</v>
      </c>
    </row>
    <row r="14" customFormat="false" ht="15" hidden="false" customHeight="false" outlineLevel="0" collapsed="false">
      <c r="A14" s="51" t="n">
        <v>2</v>
      </c>
      <c r="B14" s="62"/>
      <c r="C14" s="61" t="s">
        <v>288</v>
      </c>
      <c r="D14" s="51" t="n">
        <v>6</v>
      </c>
      <c r="E14" s="51" t="n">
        <v>2</v>
      </c>
      <c r="F14" s="62"/>
      <c r="G14" s="61" t="s">
        <v>289</v>
      </c>
      <c r="H14" s="51" t="n">
        <v>5</v>
      </c>
    </row>
    <row r="15" customFormat="false" ht="15" hidden="false" customHeight="false" outlineLevel="0" collapsed="false">
      <c r="A15" s="51" t="n">
        <v>3</v>
      </c>
      <c r="B15" s="62"/>
      <c r="C15" s="61" t="s">
        <v>290</v>
      </c>
      <c r="D15" s="51" t="n">
        <v>6</v>
      </c>
      <c r="E15" s="51" t="n">
        <v>3</v>
      </c>
      <c r="F15" s="62"/>
      <c r="G15" s="61" t="s">
        <v>291</v>
      </c>
      <c r="H15" s="51" t="n">
        <v>5</v>
      </c>
    </row>
    <row r="16" customFormat="false" ht="15" hidden="false" customHeight="false" outlineLevel="0" collapsed="false">
      <c r="A16" s="51" t="n">
        <v>4</v>
      </c>
      <c r="B16" s="62"/>
      <c r="C16" s="61" t="s">
        <v>292</v>
      </c>
      <c r="D16" s="51" t="n">
        <v>4</v>
      </c>
      <c r="E16" s="51" t="n">
        <v>4</v>
      </c>
      <c r="F16" s="62"/>
      <c r="G16" s="61" t="s">
        <v>293</v>
      </c>
      <c r="H16" s="51" t="n">
        <v>5</v>
      </c>
    </row>
    <row r="17" customFormat="false" ht="15" hidden="false" customHeight="false" outlineLevel="0" collapsed="false">
      <c r="A17" s="51" t="n">
        <v>5</v>
      </c>
      <c r="B17" s="62"/>
      <c r="C17" s="61" t="s">
        <v>294</v>
      </c>
      <c r="D17" s="51" t="n">
        <v>3</v>
      </c>
      <c r="E17" s="51" t="n">
        <v>5</v>
      </c>
      <c r="F17" s="62"/>
      <c r="G17" s="61" t="s">
        <v>295</v>
      </c>
      <c r="H17" s="51" t="n">
        <v>4</v>
      </c>
    </row>
    <row r="18" customFormat="false" ht="15" hidden="false" customHeight="false" outlineLevel="0" collapsed="false">
      <c r="A18" s="55" t="n">
        <v>1</v>
      </c>
      <c r="B18" s="63" t="s">
        <v>296</v>
      </c>
      <c r="C18" s="63" t="s">
        <v>297</v>
      </c>
      <c r="D18" s="55" t="n">
        <v>21</v>
      </c>
      <c r="E18" s="55" t="n">
        <v>1</v>
      </c>
      <c r="F18" s="63" t="s">
        <v>298</v>
      </c>
      <c r="G18" s="63" t="s">
        <v>299</v>
      </c>
      <c r="H18" s="55" t="n">
        <v>4</v>
      </c>
    </row>
    <row r="19" customFormat="false" ht="15" hidden="false" customHeight="false" outlineLevel="0" collapsed="false">
      <c r="A19" s="55" t="n">
        <v>2</v>
      </c>
      <c r="B19" s="64"/>
      <c r="C19" s="63" t="s">
        <v>300</v>
      </c>
      <c r="D19" s="55" t="n">
        <v>14</v>
      </c>
      <c r="E19" s="55" t="n">
        <v>2</v>
      </c>
      <c r="F19" s="64"/>
      <c r="G19" s="63" t="s">
        <v>301</v>
      </c>
      <c r="H19" s="55" t="n">
        <v>3</v>
      </c>
    </row>
    <row r="20" customFormat="false" ht="15" hidden="false" customHeight="false" outlineLevel="0" collapsed="false">
      <c r="A20" s="55" t="n">
        <v>3</v>
      </c>
      <c r="B20" s="64"/>
      <c r="C20" s="63" t="s">
        <v>302</v>
      </c>
      <c r="D20" s="55" t="n">
        <v>9</v>
      </c>
      <c r="E20" s="55" t="n">
        <v>3</v>
      </c>
      <c r="F20" s="64"/>
      <c r="G20" s="63" t="s">
        <v>303</v>
      </c>
      <c r="H20" s="55" t="n">
        <v>3</v>
      </c>
    </row>
    <row r="21" customFormat="false" ht="15" hidden="false" customHeight="false" outlineLevel="0" collapsed="false">
      <c r="A21" s="55" t="n">
        <v>4</v>
      </c>
      <c r="B21" s="64"/>
      <c r="C21" s="63" t="s">
        <v>304</v>
      </c>
      <c r="D21" s="55" t="n">
        <v>8</v>
      </c>
      <c r="E21" s="55" t="n">
        <v>4</v>
      </c>
      <c r="F21" s="64"/>
      <c r="G21" s="63" t="s">
        <v>305</v>
      </c>
      <c r="H21" s="55" t="n">
        <v>3</v>
      </c>
    </row>
    <row r="22" customFormat="false" ht="15" hidden="false" customHeight="false" outlineLevel="0" collapsed="false">
      <c r="A22" s="55" t="n">
        <v>5</v>
      </c>
      <c r="B22" s="64"/>
      <c r="C22" s="63" t="s">
        <v>306</v>
      </c>
      <c r="D22" s="55" t="n">
        <v>7</v>
      </c>
      <c r="E22" s="55" t="n">
        <v>5</v>
      </c>
      <c r="F22" s="64"/>
      <c r="G22" s="63" t="s">
        <v>307</v>
      </c>
      <c r="H22" s="55" t="n">
        <v>3</v>
      </c>
    </row>
    <row r="23" customFormat="false" ht="15" hidden="false" customHeight="false" outlineLevel="0" collapsed="false">
      <c r="A23" s="51" t="n">
        <v>1</v>
      </c>
      <c r="B23" s="61" t="s">
        <v>308</v>
      </c>
      <c r="C23" s="61" t="s">
        <v>309</v>
      </c>
      <c r="D23" s="51" t="n">
        <v>10</v>
      </c>
      <c r="E23" s="51" t="n">
        <v>1</v>
      </c>
      <c r="F23" s="61" t="s">
        <v>310</v>
      </c>
      <c r="G23" s="61" t="s">
        <v>311</v>
      </c>
      <c r="H23" s="51" t="n">
        <v>3</v>
      </c>
    </row>
    <row r="24" customFormat="false" ht="15" hidden="false" customHeight="false" outlineLevel="0" collapsed="false">
      <c r="A24" s="51" t="n">
        <v>2</v>
      </c>
      <c r="B24" s="62"/>
      <c r="C24" s="61" t="s">
        <v>312</v>
      </c>
      <c r="D24" s="51" t="n">
        <v>9</v>
      </c>
      <c r="E24" s="51" t="n">
        <v>2</v>
      </c>
      <c r="F24" s="62"/>
      <c r="G24" s="61" t="s">
        <v>304</v>
      </c>
      <c r="H24" s="51" t="n">
        <v>2</v>
      </c>
    </row>
    <row r="25" customFormat="false" ht="15" hidden="false" customHeight="false" outlineLevel="0" collapsed="false">
      <c r="A25" s="51" t="n">
        <v>3</v>
      </c>
      <c r="B25" s="62"/>
      <c r="C25" s="61" t="s">
        <v>313</v>
      </c>
      <c r="D25" s="51" t="n">
        <v>8</v>
      </c>
      <c r="E25" s="51" t="n">
        <v>3</v>
      </c>
      <c r="F25" s="62"/>
      <c r="G25" s="61" t="s">
        <v>314</v>
      </c>
      <c r="H25" s="51" t="n">
        <v>2</v>
      </c>
    </row>
    <row r="26" customFormat="false" ht="15" hidden="false" customHeight="false" outlineLevel="0" collapsed="false">
      <c r="A26" s="51" t="n">
        <v>4</v>
      </c>
      <c r="B26" s="62"/>
      <c r="C26" s="61" t="s">
        <v>315</v>
      </c>
      <c r="D26" s="51" t="n">
        <v>5</v>
      </c>
      <c r="E26" s="51" t="n">
        <v>4</v>
      </c>
      <c r="F26" s="62"/>
      <c r="G26" s="61" t="s">
        <v>316</v>
      </c>
      <c r="H26" s="51" t="n">
        <v>2</v>
      </c>
    </row>
    <row r="27" customFormat="false" ht="15" hidden="false" customHeight="false" outlineLevel="0" collapsed="false">
      <c r="A27" s="51" t="n">
        <v>5</v>
      </c>
      <c r="B27" s="62"/>
      <c r="C27" s="61" t="s">
        <v>317</v>
      </c>
      <c r="D27" s="51" t="n">
        <v>4</v>
      </c>
      <c r="E27" s="51" t="n">
        <v>5</v>
      </c>
      <c r="F27" s="62"/>
      <c r="G27" s="61" t="s">
        <v>318</v>
      </c>
      <c r="H27" s="51" t="n">
        <v>2</v>
      </c>
    </row>
    <row r="29" customFormat="false" ht="15" hidden="false" customHeight="false" outlineLevel="0" collapsed="false">
      <c r="A29" s="49" t="s">
        <v>319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15" min="3" style="0" width="11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16.15" hidden="false" customHeight="false" outlineLevel="0" collapsed="false">
      <c r="A1" s="48" t="s">
        <v>320</v>
      </c>
    </row>
    <row r="2" customFormat="false" ht="15" hidden="false" customHeight="false" outlineLevel="0" collapsed="false">
      <c r="A2" s="49" t="s">
        <v>321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235</v>
      </c>
      <c r="D3" s="19" t="s">
        <v>236</v>
      </c>
      <c r="E3" s="19" t="s">
        <v>322</v>
      </c>
      <c r="F3" s="19" t="s">
        <v>11</v>
      </c>
      <c r="G3" s="19" t="s">
        <v>5</v>
      </c>
      <c r="H3" s="19"/>
      <c r="I3" s="19"/>
      <c r="J3" s="19"/>
      <c r="K3" s="19"/>
      <c r="L3" s="19" t="s">
        <v>6</v>
      </c>
      <c r="M3" s="19" t="s">
        <v>237</v>
      </c>
      <c r="N3" s="19"/>
      <c r="O3" s="19"/>
      <c r="P3" s="19" t="s">
        <v>134</v>
      </c>
      <c r="Q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19"/>
      <c r="G4" s="50" t="s">
        <v>239</v>
      </c>
      <c r="H4" s="50" t="s">
        <v>240</v>
      </c>
      <c r="I4" s="50" t="s">
        <v>241</v>
      </c>
      <c r="J4" s="50" t="s">
        <v>240</v>
      </c>
      <c r="K4" s="50" t="s">
        <v>242</v>
      </c>
      <c r="L4" s="19"/>
      <c r="M4" s="50" t="s">
        <v>243</v>
      </c>
      <c r="N4" s="50" t="s">
        <v>244</v>
      </c>
      <c r="O4" s="50" t="s">
        <v>245</v>
      </c>
      <c r="P4" s="19"/>
      <c r="Q4" s="19"/>
    </row>
    <row r="5" customFormat="false" ht="15" hidden="false" customHeight="false" outlineLevel="0" collapsed="false">
      <c r="A5" s="51" t="n">
        <v>1</v>
      </c>
      <c r="B5" s="52" t="s">
        <v>246</v>
      </c>
      <c r="C5" s="53" t="n">
        <v>101</v>
      </c>
      <c r="D5" s="53" t="n">
        <v>241</v>
      </c>
      <c r="E5" s="53" t="n">
        <v>4</v>
      </c>
      <c r="F5" s="21" t="n">
        <f aca="false">C5+D5-E5</f>
        <v>338</v>
      </c>
      <c r="G5" s="53" t="n">
        <v>181</v>
      </c>
      <c r="H5" s="54" t="n">
        <f aca="false">IFERROR(G5/K5,0)</f>
        <v>0.709803921568628</v>
      </c>
      <c r="I5" s="53" t="n">
        <v>74</v>
      </c>
      <c r="J5" s="54" t="n">
        <f aca="false">IFERROR(I5/K5,0)</f>
        <v>0.290196078431373</v>
      </c>
      <c r="K5" s="21" t="n">
        <f aca="false">G5+I5</f>
        <v>255</v>
      </c>
      <c r="L5" s="21" t="n">
        <f aca="false">F5-K5</f>
        <v>83</v>
      </c>
      <c r="M5" s="53" t="n">
        <v>83</v>
      </c>
      <c r="N5" s="53" t="n">
        <v>0</v>
      </c>
      <c r="O5" s="53" t="n">
        <v>0</v>
      </c>
      <c r="P5" s="21" t="n">
        <f aca="false">SUM(N5:O5)</f>
        <v>0</v>
      </c>
      <c r="Q5" s="21" t="n">
        <f aca="false">L5-SUM(M5:O5)</f>
        <v>0</v>
      </c>
    </row>
    <row r="6" customFormat="false" ht="15" hidden="false" customHeight="false" outlineLevel="0" collapsed="false">
      <c r="A6" s="55" t="n">
        <v>2</v>
      </c>
      <c r="B6" s="56" t="s">
        <v>247</v>
      </c>
      <c r="C6" s="57" t="n">
        <v>76</v>
      </c>
      <c r="D6" s="57" t="n">
        <v>244</v>
      </c>
      <c r="E6" s="57" t="n">
        <v>3</v>
      </c>
      <c r="F6" s="26" t="n">
        <f aca="false">C6+D6-E6</f>
        <v>317</v>
      </c>
      <c r="G6" s="57" t="n">
        <v>199</v>
      </c>
      <c r="H6" s="58" t="n">
        <f aca="false">IFERROR(G6/K6,0)</f>
        <v>0.857758620689655</v>
      </c>
      <c r="I6" s="57" t="n">
        <v>33</v>
      </c>
      <c r="J6" s="58" t="n">
        <f aca="false">IFERROR(I6/K6,0)</f>
        <v>0.142241379310345</v>
      </c>
      <c r="K6" s="26" t="n">
        <f aca="false">G6+I6</f>
        <v>232</v>
      </c>
      <c r="L6" s="26" t="n">
        <f aca="false">F6-K6</f>
        <v>85</v>
      </c>
      <c r="M6" s="57" t="n">
        <v>85</v>
      </c>
      <c r="N6" s="57" t="n">
        <v>0</v>
      </c>
      <c r="O6" s="57" t="n">
        <v>0</v>
      </c>
      <c r="P6" s="26" t="n">
        <f aca="false">SUM(N6:O6)</f>
        <v>0</v>
      </c>
      <c r="Q6" s="26" t="n">
        <f aca="false">L6-SUM(M6:O6)</f>
        <v>0</v>
      </c>
    </row>
    <row r="7" customFormat="false" ht="15" hidden="false" customHeight="false" outlineLevel="0" collapsed="false">
      <c r="A7" s="51" t="n">
        <v>3</v>
      </c>
      <c r="B7" s="52" t="s">
        <v>248</v>
      </c>
      <c r="C7" s="53" t="n">
        <v>68</v>
      </c>
      <c r="D7" s="53" t="n">
        <v>181</v>
      </c>
      <c r="E7" s="53" t="n">
        <v>10</v>
      </c>
      <c r="F7" s="21" t="n">
        <f aca="false">C7+D7-E7</f>
        <v>239</v>
      </c>
      <c r="G7" s="53" t="n">
        <v>139</v>
      </c>
      <c r="H7" s="54" t="n">
        <f aca="false">IFERROR(G7/K7,0)</f>
        <v>0.798850574712644</v>
      </c>
      <c r="I7" s="53" t="n">
        <v>35</v>
      </c>
      <c r="J7" s="54" t="n">
        <f aca="false">IFERROR(I7/K7,0)</f>
        <v>0.201149425287356</v>
      </c>
      <c r="K7" s="21" t="n">
        <f aca="false">G7+I7</f>
        <v>174</v>
      </c>
      <c r="L7" s="21" t="n">
        <f aca="false">F7-K7</f>
        <v>65</v>
      </c>
      <c r="M7" s="53" t="n">
        <v>65</v>
      </c>
      <c r="N7" s="53" t="n">
        <v>0</v>
      </c>
      <c r="O7" s="53" t="n">
        <v>0</v>
      </c>
      <c r="P7" s="21" t="n">
        <f aca="false">SUM(N7:O7)</f>
        <v>0</v>
      </c>
      <c r="Q7" s="21" t="n">
        <f aca="false">L7-SUM(M7:O7)</f>
        <v>0</v>
      </c>
    </row>
    <row r="8" customFormat="false" ht="15" hidden="false" customHeight="false" outlineLevel="0" collapsed="false">
      <c r="A8" s="55" t="n">
        <v>4</v>
      </c>
      <c r="B8" s="56" t="s">
        <v>249</v>
      </c>
      <c r="C8" s="57" t="n">
        <v>85</v>
      </c>
      <c r="D8" s="57" t="n">
        <v>156</v>
      </c>
      <c r="E8" s="57" t="n">
        <v>9</v>
      </c>
      <c r="F8" s="26" t="n">
        <f aca="false">C8+D8-E8</f>
        <v>232</v>
      </c>
      <c r="G8" s="57" t="n">
        <v>142</v>
      </c>
      <c r="H8" s="58" t="n">
        <f aca="false">IFERROR(G8/K8,0)</f>
        <v>0.855421686746988</v>
      </c>
      <c r="I8" s="57" t="n">
        <v>24</v>
      </c>
      <c r="J8" s="58" t="n">
        <f aca="false">IFERROR(I8/K8,0)</f>
        <v>0.144578313253012</v>
      </c>
      <c r="K8" s="26" t="n">
        <f aca="false">G8+I8</f>
        <v>166</v>
      </c>
      <c r="L8" s="26" t="n">
        <f aca="false">F8-K8</f>
        <v>66</v>
      </c>
      <c r="M8" s="57" t="n">
        <v>66</v>
      </c>
      <c r="N8" s="57" t="n">
        <v>0</v>
      </c>
      <c r="O8" s="57" t="n">
        <v>0</v>
      </c>
      <c r="P8" s="26" t="n">
        <f aca="false">SUM(N8:O8)</f>
        <v>0</v>
      </c>
      <c r="Q8" s="26" t="n">
        <f aca="false">L8-SUM(M8:O8)</f>
        <v>0</v>
      </c>
    </row>
    <row r="9" customFormat="false" ht="15" hidden="false" customHeight="false" outlineLevel="0" collapsed="false">
      <c r="A9" s="51" t="n">
        <v>5</v>
      </c>
      <c r="B9" s="52" t="s">
        <v>250</v>
      </c>
      <c r="C9" s="53" t="n">
        <v>101</v>
      </c>
      <c r="D9" s="53" t="n">
        <v>146</v>
      </c>
      <c r="E9" s="53" t="n">
        <v>6</v>
      </c>
      <c r="F9" s="21" t="n">
        <f aca="false">C9+D9-E9</f>
        <v>241</v>
      </c>
      <c r="G9" s="53" t="n">
        <v>162</v>
      </c>
      <c r="H9" s="54" t="n">
        <f aca="false">IFERROR(G9/K9,0)</f>
        <v>0.848167539267016</v>
      </c>
      <c r="I9" s="53" t="n">
        <v>29</v>
      </c>
      <c r="J9" s="54" t="n">
        <f aca="false">IFERROR(I9/K9,0)</f>
        <v>0.151832460732984</v>
      </c>
      <c r="K9" s="21" t="n">
        <f aca="false">G9+I9</f>
        <v>191</v>
      </c>
      <c r="L9" s="21" t="n">
        <f aca="false">F9-K9</f>
        <v>50</v>
      </c>
      <c r="M9" s="53" t="n">
        <v>50</v>
      </c>
      <c r="N9" s="53" t="n">
        <v>0</v>
      </c>
      <c r="O9" s="53" t="n">
        <v>0</v>
      </c>
      <c r="P9" s="21" t="n">
        <f aca="false">SUM(N9:O9)</f>
        <v>0</v>
      </c>
      <c r="Q9" s="21" t="n">
        <f aca="false">L9-SUM(M9:O9)</f>
        <v>0</v>
      </c>
    </row>
    <row r="10" customFormat="false" ht="15" hidden="false" customHeight="false" outlineLevel="0" collapsed="false">
      <c r="A10" s="55" t="n">
        <v>6</v>
      </c>
      <c r="B10" s="56" t="s">
        <v>251</v>
      </c>
      <c r="C10" s="57" t="n">
        <v>111</v>
      </c>
      <c r="D10" s="57" t="n">
        <v>288</v>
      </c>
      <c r="E10" s="57" t="n">
        <v>10</v>
      </c>
      <c r="F10" s="26" t="n">
        <f aca="false">C10+D10-E10</f>
        <v>389</v>
      </c>
      <c r="G10" s="57" t="n">
        <v>228</v>
      </c>
      <c r="H10" s="58" t="n">
        <f aca="false">IFERROR(G10/K10,0)</f>
        <v>0.780821917808219</v>
      </c>
      <c r="I10" s="57" t="n">
        <v>64</v>
      </c>
      <c r="J10" s="58" t="n">
        <f aca="false">IFERROR(I10/K10,0)</f>
        <v>0.219178082191781</v>
      </c>
      <c r="K10" s="26" t="n">
        <f aca="false">G10+I10</f>
        <v>292</v>
      </c>
      <c r="L10" s="26" t="n">
        <f aca="false">F10-K10</f>
        <v>97</v>
      </c>
      <c r="M10" s="57" t="n">
        <v>97</v>
      </c>
      <c r="N10" s="57" t="n">
        <v>0</v>
      </c>
      <c r="O10" s="57" t="n">
        <v>0</v>
      </c>
      <c r="P10" s="26" t="n">
        <f aca="false">SUM(N10:O10)</f>
        <v>0</v>
      </c>
      <c r="Q10" s="26" t="n">
        <f aca="false">L10-SUM(M10:O10)</f>
        <v>0</v>
      </c>
    </row>
    <row r="11" customFormat="false" ht="15" hidden="false" customHeight="false" outlineLevel="0" collapsed="false">
      <c r="A11" s="51" t="n">
        <v>7</v>
      </c>
      <c r="B11" s="52" t="s">
        <v>252</v>
      </c>
      <c r="C11" s="53" t="n">
        <v>42</v>
      </c>
      <c r="D11" s="53" t="n">
        <v>83</v>
      </c>
      <c r="E11" s="53" t="n">
        <v>0</v>
      </c>
      <c r="F11" s="21" t="n">
        <f aca="false">C11+D11-E11</f>
        <v>125</v>
      </c>
      <c r="G11" s="53" t="n">
        <v>81</v>
      </c>
      <c r="H11" s="54" t="n">
        <f aca="false">IFERROR(G11/K11,0)</f>
        <v>0.89010989010989</v>
      </c>
      <c r="I11" s="53" t="n">
        <v>10</v>
      </c>
      <c r="J11" s="54" t="n">
        <f aca="false">IFERROR(I11/K11,0)</f>
        <v>0.10989010989011</v>
      </c>
      <c r="K11" s="21" t="n">
        <f aca="false">G11+I11</f>
        <v>91</v>
      </c>
      <c r="L11" s="21" t="n">
        <f aca="false">F11-K11</f>
        <v>34</v>
      </c>
      <c r="M11" s="53" t="n">
        <v>34</v>
      </c>
      <c r="N11" s="53" t="n">
        <v>0</v>
      </c>
      <c r="O11" s="53" t="n">
        <v>0</v>
      </c>
      <c r="P11" s="21" t="n">
        <f aca="false">SUM(N11:O11)</f>
        <v>0</v>
      </c>
      <c r="Q11" s="21" t="n">
        <f aca="false">L11-SUM(M11:O11)</f>
        <v>0</v>
      </c>
    </row>
    <row r="12" customFormat="false" ht="15" hidden="false" customHeight="false" outlineLevel="0" collapsed="false">
      <c r="A12" s="55" t="n">
        <v>8</v>
      </c>
      <c r="B12" s="56" t="s">
        <v>253</v>
      </c>
      <c r="C12" s="57" t="n">
        <v>119</v>
      </c>
      <c r="D12" s="57" t="n">
        <v>241</v>
      </c>
      <c r="E12" s="57" t="n">
        <v>7</v>
      </c>
      <c r="F12" s="26" t="n">
        <f aca="false">C12+D12-E12</f>
        <v>353</v>
      </c>
      <c r="G12" s="57" t="n">
        <v>252</v>
      </c>
      <c r="H12" s="58" t="n">
        <f aca="false">IFERROR(G12/K12,0)</f>
        <v>0.893617021276596</v>
      </c>
      <c r="I12" s="57" t="n">
        <v>30</v>
      </c>
      <c r="J12" s="58" t="n">
        <f aca="false">IFERROR(I12/K12,0)</f>
        <v>0.106382978723404</v>
      </c>
      <c r="K12" s="26" t="n">
        <f aca="false">G12+I12</f>
        <v>282</v>
      </c>
      <c r="L12" s="26" t="n">
        <f aca="false">F12-K12</f>
        <v>71</v>
      </c>
      <c r="M12" s="57" t="n">
        <v>71</v>
      </c>
      <c r="N12" s="57" t="n">
        <v>0</v>
      </c>
      <c r="O12" s="57" t="n">
        <v>0</v>
      </c>
      <c r="P12" s="26" t="n">
        <f aca="false">SUM(N12:O12)</f>
        <v>0</v>
      </c>
      <c r="Q12" s="26" t="n">
        <f aca="false">L12-SUM(M12:O12)</f>
        <v>0</v>
      </c>
    </row>
    <row r="13" customFormat="false" ht="15" hidden="false" customHeight="false" outlineLevel="0" collapsed="false">
      <c r="A13" s="51" t="n">
        <v>9</v>
      </c>
      <c r="B13" s="52" t="s">
        <v>254</v>
      </c>
      <c r="C13" s="53" t="n">
        <v>79</v>
      </c>
      <c r="D13" s="53" t="n">
        <v>151</v>
      </c>
      <c r="E13" s="53" t="n">
        <v>3</v>
      </c>
      <c r="F13" s="21" t="n">
        <f aca="false">C13+D13-E13</f>
        <v>227</v>
      </c>
      <c r="G13" s="53" t="n">
        <v>149</v>
      </c>
      <c r="H13" s="54" t="n">
        <f aca="false">IFERROR(G13/K13,0)</f>
        <v>0.85632183908046</v>
      </c>
      <c r="I13" s="53" t="n">
        <v>25</v>
      </c>
      <c r="J13" s="54" t="n">
        <f aca="false">IFERROR(I13/K13,0)</f>
        <v>0.14367816091954</v>
      </c>
      <c r="K13" s="21" t="n">
        <f aca="false">G13+I13</f>
        <v>174</v>
      </c>
      <c r="L13" s="21" t="n">
        <f aca="false">F13-K13</f>
        <v>53</v>
      </c>
      <c r="M13" s="53" t="n">
        <v>53</v>
      </c>
      <c r="N13" s="53" t="n">
        <v>0</v>
      </c>
      <c r="O13" s="53" t="n">
        <v>0</v>
      </c>
      <c r="P13" s="21" t="n">
        <f aca="false">SUM(N13:O13)</f>
        <v>0</v>
      </c>
      <c r="Q13" s="21" t="n">
        <f aca="false">L13-SUM(M13:O13)</f>
        <v>0</v>
      </c>
    </row>
    <row r="14" customFormat="false" ht="15" hidden="false" customHeight="false" outlineLevel="0" collapsed="false">
      <c r="A14" s="55" t="n">
        <v>10</v>
      </c>
      <c r="B14" s="56" t="s">
        <v>255</v>
      </c>
      <c r="C14" s="57" t="n">
        <v>111</v>
      </c>
      <c r="D14" s="57" t="n">
        <v>303</v>
      </c>
      <c r="E14" s="57" t="n">
        <v>4</v>
      </c>
      <c r="F14" s="26" t="n">
        <f aca="false">C14+D14-E14</f>
        <v>410</v>
      </c>
      <c r="G14" s="57" t="n">
        <v>218</v>
      </c>
      <c r="H14" s="58" t="n">
        <f aca="false">IFERROR(G14/K14,0)</f>
        <v>0.819548872180451</v>
      </c>
      <c r="I14" s="57" t="n">
        <v>48</v>
      </c>
      <c r="J14" s="58" t="n">
        <f aca="false">IFERROR(I14/K14,0)</f>
        <v>0.180451127819549</v>
      </c>
      <c r="K14" s="26" t="n">
        <f aca="false">G14+I14</f>
        <v>266</v>
      </c>
      <c r="L14" s="26" t="n">
        <f aca="false">F14-K14</f>
        <v>144</v>
      </c>
      <c r="M14" s="57" t="n">
        <v>144</v>
      </c>
      <c r="N14" s="57" t="n">
        <v>0</v>
      </c>
      <c r="O14" s="57" t="n">
        <v>0</v>
      </c>
      <c r="P14" s="26" t="n">
        <f aca="false">SUM(N14:O14)</f>
        <v>0</v>
      </c>
      <c r="Q14" s="26" t="n">
        <f aca="false">L14-SUM(M14:O14)</f>
        <v>0</v>
      </c>
    </row>
    <row r="15" customFormat="false" ht="15" hidden="false" customHeight="false" outlineLevel="0" collapsed="false">
      <c r="A15" s="59"/>
      <c r="B15" s="28" t="s">
        <v>11</v>
      </c>
      <c r="C15" s="30" t="n">
        <f aca="false">SUM(C5:INDEX(C:C,ROW()-1))</f>
        <v>893</v>
      </c>
      <c r="D15" s="30" t="n">
        <f aca="false">SUM(D5:INDEX(D:D,ROW()-1))</f>
        <v>2034</v>
      </c>
      <c r="E15" s="30" t="n">
        <f aca="false">SUM(E5:INDEX(E:E,ROW()-1))</f>
        <v>56</v>
      </c>
      <c r="F15" s="30" t="n">
        <f aca="false">C15+D15-E15</f>
        <v>2871</v>
      </c>
      <c r="G15" s="30" t="n">
        <f aca="false">SUM(G5:INDEX(G:G,ROW()-1))</f>
        <v>1751</v>
      </c>
      <c r="H15" s="60" t="n">
        <f aca="false">IFERROR(G15/K15,0)</f>
        <v>0.824776260009421</v>
      </c>
      <c r="I15" s="30" t="n">
        <f aca="false">SUM(I5:INDEX(I:I,ROW()-1))</f>
        <v>372</v>
      </c>
      <c r="J15" s="60" t="n">
        <f aca="false">IFERROR(I15/K15,0)</f>
        <v>0.175223739990579</v>
      </c>
      <c r="K15" s="30" t="n">
        <f aca="false">G15+I15</f>
        <v>2123</v>
      </c>
      <c r="L15" s="30" t="n">
        <f aca="false">F15-K15</f>
        <v>748</v>
      </c>
      <c r="M15" s="30" t="n">
        <f aca="false">SUM(M5:INDEX(M:M,ROW()-1))</f>
        <v>748</v>
      </c>
      <c r="N15" s="30" t="n">
        <f aca="false">SUM(N5:INDEX(N:N,ROW()-1))</f>
        <v>0</v>
      </c>
      <c r="O15" s="30" t="n">
        <f aca="false">SUM(O5:INDEX(O:O,ROW()-1))</f>
        <v>0</v>
      </c>
      <c r="P15" s="30" t="n">
        <f aca="false">SUM(N15:O15)</f>
        <v>0</v>
      </c>
      <c r="Q15" s="30" t="n">
        <f aca="false">L15-SUM(M15:O15)</f>
        <v>0</v>
      </c>
    </row>
    <row r="17" customFormat="false" ht="15" hidden="false" customHeight="false" outlineLevel="0" collapsed="false">
      <c r="A17" s="49" t="s">
        <v>256</v>
      </c>
    </row>
  </sheetData>
  <mergeCells count="11">
    <mergeCell ref="A3:A4"/>
    <mergeCell ref="B3:B4"/>
    <mergeCell ref="C3:C4"/>
    <mergeCell ref="D3:D4"/>
    <mergeCell ref="E3:E4"/>
    <mergeCell ref="F3:F4"/>
    <mergeCell ref="G3:K3"/>
    <mergeCell ref="L3:L4"/>
    <mergeCell ref="M3:O3"/>
    <mergeCell ref="P3:P4"/>
    <mergeCell ref="Q3:Q4"/>
  </mergeCells>
  <conditionalFormatting sqref="Q5:Q15">
    <cfRule type="cellIs" priority="2" operator="notEqual" aboveAverage="0" equalAverage="0" bottom="0" percent="0" rank="0" text="" dxfId="6">
      <formula>0</formula>
    </cfRule>
  </conditionalFormatting>
  <conditionalFormatting sqref="P5:P15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48" t="s">
        <v>323</v>
      </c>
    </row>
    <row r="2" customFormat="false" ht="22.35" hidden="false" customHeight="false" outlineLevel="0" collapsed="false">
      <c r="A2" s="19" t="s">
        <v>234</v>
      </c>
      <c r="B2" s="19" t="s">
        <v>15</v>
      </c>
      <c r="C2" s="19" t="s">
        <v>258</v>
      </c>
      <c r="D2" s="19" t="s">
        <v>259</v>
      </c>
      <c r="E2" s="19" t="s">
        <v>234</v>
      </c>
      <c r="F2" s="19" t="s">
        <v>15</v>
      </c>
      <c r="G2" s="19" t="s">
        <v>258</v>
      </c>
      <c r="H2" s="19" t="s">
        <v>259</v>
      </c>
    </row>
    <row r="3" customFormat="false" ht="15" hidden="false" customHeight="false" outlineLevel="0" collapsed="false">
      <c r="A3" s="51" t="n">
        <v>1</v>
      </c>
      <c r="B3" s="61" t="s">
        <v>260</v>
      </c>
      <c r="C3" s="61" t="s">
        <v>324</v>
      </c>
      <c r="D3" s="51" t="n">
        <v>12</v>
      </c>
      <c r="E3" s="51" t="n">
        <v>1</v>
      </c>
      <c r="F3" s="61" t="s">
        <v>262</v>
      </c>
      <c r="G3" s="61" t="s">
        <v>325</v>
      </c>
      <c r="H3" s="51" t="n">
        <v>4</v>
      </c>
    </row>
    <row r="4" customFormat="false" ht="15" hidden="false" customHeight="false" outlineLevel="0" collapsed="false">
      <c r="A4" s="51" t="n">
        <v>2</v>
      </c>
      <c r="B4" s="62"/>
      <c r="C4" s="61" t="s">
        <v>326</v>
      </c>
      <c r="D4" s="51" t="n">
        <v>9</v>
      </c>
      <c r="E4" s="51" t="n">
        <v>2</v>
      </c>
      <c r="F4" s="62"/>
      <c r="G4" s="61" t="s">
        <v>327</v>
      </c>
      <c r="H4" s="51" t="n">
        <v>3</v>
      </c>
    </row>
    <row r="5" customFormat="false" ht="15" hidden="false" customHeight="false" outlineLevel="0" collapsed="false">
      <c r="A5" s="51" t="n">
        <v>3</v>
      </c>
      <c r="B5" s="62"/>
      <c r="C5" s="61" t="s">
        <v>328</v>
      </c>
      <c r="D5" s="51" t="n">
        <v>9</v>
      </c>
      <c r="E5" s="51" t="n">
        <v>3</v>
      </c>
      <c r="F5" s="62"/>
      <c r="G5" s="61" t="s">
        <v>329</v>
      </c>
      <c r="H5" s="51" t="n">
        <v>3</v>
      </c>
    </row>
    <row r="6" customFormat="false" ht="15" hidden="false" customHeight="false" outlineLevel="0" collapsed="false">
      <c r="A6" s="51" t="n">
        <v>4</v>
      </c>
      <c r="B6" s="62"/>
      <c r="C6" s="61" t="s">
        <v>330</v>
      </c>
      <c r="D6" s="51" t="n">
        <v>4</v>
      </c>
      <c r="E6" s="51" t="n">
        <v>4</v>
      </c>
      <c r="F6" s="62"/>
      <c r="G6" s="61" t="s">
        <v>331</v>
      </c>
      <c r="H6" s="51" t="n">
        <v>3</v>
      </c>
    </row>
    <row r="7" customFormat="false" ht="15" hidden="false" customHeight="false" outlineLevel="0" collapsed="false">
      <c r="A7" s="51" t="n">
        <v>5</v>
      </c>
      <c r="B7" s="62"/>
      <c r="C7" s="61" t="s">
        <v>332</v>
      </c>
      <c r="D7" s="51" t="n">
        <v>3</v>
      </c>
      <c r="E7" s="51" t="n">
        <v>5</v>
      </c>
      <c r="F7" s="62"/>
      <c r="G7" s="61" t="s">
        <v>333</v>
      </c>
      <c r="H7" s="51" t="n">
        <v>3</v>
      </c>
    </row>
    <row r="8" customFormat="false" ht="15" hidden="false" customHeight="false" outlineLevel="0" collapsed="false">
      <c r="A8" s="55" t="n">
        <v>1</v>
      </c>
      <c r="B8" s="63" t="s">
        <v>272</v>
      </c>
      <c r="C8" s="63" t="s">
        <v>334</v>
      </c>
      <c r="D8" s="55" t="n">
        <v>5</v>
      </c>
      <c r="E8" s="55" t="n">
        <v>1</v>
      </c>
      <c r="F8" s="63" t="s">
        <v>274</v>
      </c>
      <c r="G8" s="63" t="s">
        <v>335</v>
      </c>
      <c r="H8" s="55" t="n">
        <v>4</v>
      </c>
    </row>
    <row r="9" customFormat="false" ht="15" hidden="false" customHeight="false" outlineLevel="0" collapsed="false">
      <c r="A9" s="55" t="n">
        <v>2</v>
      </c>
      <c r="B9" s="64"/>
      <c r="C9" s="63" t="s">
        <v>336</v>
      </c>
      <c r="D9" s="55" t="n">
        <v>3</v>
      </c>
      <c r="E9" s="55" t="n">
        <v>2</v>
      </c>
      <c r="F9" s="64"/>
      <c r="G9" s="63" t="s">
        <v>337</v>
      </c>
      <c r="H9" s="55" t="n">
        <v>4</v>
      </c>
    </row>
    <row r="10" customFormat="false" ht="15" hidden="false" customHeight="false" outlineLevel="0" collapsed="false">
      <c r="A10" s="55" t="n">
        <v>3</v>
      </c>
      <c r="B10" s="64"/>
      <c r="C10" s="63" t="s">
        <v>338</v>
      </c>
      <c r="D10" s="55" t="n">
        <v>2</v>
      </c>
      <c r="E10" s="55" t="n">
        <v>3</v>
      </c>
      <c r="F10" s="64"/>
      <c r="G10" s="63" t="s">
        <v>339</v>
      </c>
      <c r="H10" s="55" t="n">
        <v>4</v>
      </c>
    </row>
    <row r="11" customFormat="false" ht="15" hidden="false" customHeight="false" outlineLevel="0" collapsed="false">
      <c r="A11" s="55" t="n">
        <v>4</v>
      </c>
      <c r="B11" s="64"/>
      <c r="C11" s="63" t="s">
        <v>340</v>
      </c>
      <c r="D11" s="55" t="n">
        <v>2</v>
      </c>
      <c r="E11" s="55" t="n">
        <v>4</v>
      </c>
      <c r="F11" s="64"/>
      <c r="G11" s="63" t="s">
        <v>341</v>
      </c>
      <c r="H11" s="55" t="n">
        <v>2</v>
      </c>
    </row>
    <row r="12" customFormat="false" ht="15" hidden="false" customHeight="false" outlineLevel="0" collapsed="false">
      <c r="A12" s="55" t="n">
        <v>5</v>
      </c>
      <c r="B12" s="64"/>
      <c r="C12" s="63" t="s">
        <v>342</v>
      </c>
      <c r="D12" s="55" t="n">
        <v>2</v>
      </c>
      <c r="E12" s="55" t="n">
        <v>5</v>
      </c>
      <c r="F12" s="64"/>
      <c r="G12" s="63" t="s">
        <v>343</v>
      </c>
      <c r="H12" s="55" t="n">
        <v>2</v>
      </c>
    </row>
    <row r="13" customFormat="false" ht="15" hidden="false" customHeight="false" outlineLevel="0" collapsed="false">
      <c r="A13" s="51" t="n">
        <v>1</v>
      </c>
      <c r="B13" s="61" t="s">
        <v>284</v>
      </c>
      <c r="C13" s="61" t="s">
        <v>344</v>
      </c>
      <c r="D13" s="51" t="n">
        <v>4</v>
      </c>
      <c r="E13" s="51" t="n">
        <v>1</v>
      </c>
      <c r="F13" s="61" t="s">
        <v>286</v>
      </c>
      <c r="G13" s="61" t="s">
        <v>345</v>
      </c>
      <c r="H13" s="51" t="n">
        <v>3</v>
      </c>
    </row>
    <row r="14" customFormat="false" ht="15" hidden="false" customHeight="false" outlineLevel="0" collapsed="false">
      <c r="A14" s="51" t="n">
        <v>2</v>
      </c>
      <c r="B14" s="62"/>
      <c r="C14" s="61" t="s">
        <v>346</v>
      </c>
      <c r="D14" s="51" t="n">
        <v>4</v>
      </c>
      <c r="E14" s="51" t="n">
        <v>2</v>
      </c>
      <c r="F14" s="62"/>
      <c r="G14" s="61" t="s">
        <v>347</v>
      </c>
      <c r="H14" s="51" t="n">
        <v>2</v>
      </c>
    </row>
    <row r="15" customFormat="false" ht="15" hidden="false" customHeight="false" outlineLevel="0" collapsed="false">
      <c r="A15" s="51" t="n">
        <v>3</v>
      </c>
      <c r="B15" s="62"/>
      <c r="C15" s="61" t="s">
        <v>348</v>
      </c>
      <c r="D15" s="51" t="n">
        <v>3</v>
      </c>
      <c r="E15" s="51" t="n">
        <v>3</v>
      </c>
      <c r="F15" s="62"/>
      <c r="G15" s="61" t="s">
        <v>349</v>
      </c>
      <c r="H15" s="51" t="n">
        <v>2</v>
      </c>
    </row>
    <row r="16" customFormat="false" ht="15" hidden="false" customHeight="false" outlineLevel="0" collapsed="false">
      <c r="A16" s="51" t="n">
        <v>4</v>
      </c>
      <c r="B16" s="62"/>
      <c r="C16" s="61" t="s">
        <v>350</v>
      </c>
      <c r="D16" s="51" t="n">
        <v>3</v>
      </c>
      <c r="E16" s="51" t="n">
        <v>4</v>
      </c>
      <c r="F16" s="62"/>
      <c r="G16" s="61" t="s">
        <v>351</v>
      </c>
      <c r="H16" s="51" t="n">
        <v>1</v>
      </c>
    </row>
    <row r="17" customFormat="false" ht="15" hidden="false" customHeight="false" outlineLevel="0" collapsed="false">
      <c r="A17" s="51" t="n">
        <v>5</v>
      </c>
      <c r="B17" s="62"/>
      <c r="C17" s="61" t="s">
        <v>352</v>
      </c>
      <c r="D17" s="51" t="n">
        <v>2</v>
      </c>
      <c r="E17" s="51" t="n">
        <v>5</v>
      </c>
      <c r="F17" s="62"/>
      <c r="G17" s="61" t="s">
        <v>353</v>
      </c>
      <c r="H17" s="51" t="n">
        <v>1</v>
      </c>
    </row>
    <row r="18" customFormat="false" ht="15" hidden="false" customHeight="false" outlineLevel="0" collapsed="false">
      <c r="A18" s="55" t="n">
        <v>1</v>
      </c>
      <c r="B18" s="63" t="s">
        <v>296</v>
      </c>
      <c r="C18" s="63" t="s">
        <v>354</v>
      </c>
      <c r="D18" s="55" t="n">
        <v>8</v>
      </c>
      <c r="E18" s="55" t="n">
        <v>1</v>
      </c>
      <c r="F18" s="63" t="s">
        <v>298</v>
      </c>
      <c r="G18" s="63" t="s">
        <v>355</v>
      </c>
      <c r="H18" s="55" t="n">
        <v>3</v>
      </c>
    </row>
    <row r="19" customFormat="false" ht="15" hidden="false" customHeight="false" outlineLevel="0" collapsed="false">
      <c r="A19" s="55" t="n">
        <v>2</v>
      </c>
      <c r="B19" s="64"/>
      <c r="C19" s="63" t="s">
        <v>356</v>
      </c>
      <c r="D19" s="55" t="n">
        <v>7</v>
      </c>
      <c r="E19" s="55" t="n">
        <v>2</v>
      </c>
      <c r="F19" s="64"/>
      <c r="G19" s="63" t="s">
        <v>357</v>
      </c>
      <c r="H19" s="55" t="n">
        <v>2</v>
      </c>
    </row>
    <row r="20" customFormat="false" ht="15" hidden="false" customHeight="false" outlineLevel="0" collapsed="false">
      <c r="A20" s="55" t="n">
        <v>3</v>
      </c>
      <c r="B20" s="64"/>
      <c r="C20" s="63" t="s">
        <v>358</v>
      </c>
      <c r="D20" s="55" t="n">
        <v>5</v>
      </c>
      <c r="E20" s="55" t="n">
        <v>3</v>
      </c>
      <c r="F20" s="64"/>
      <c r="G20" s="63" t="s">
        <v>359</v>
      </c>
      <c r="H20" s="55" t="n">
        <v>2</v>
      </c>
    </row>
    <row r="21" customFormat="false" ht="15" hidden="false" customHeight="false" outlineLevel="0" collapsed="false">
      <c r="A21" s="55" t="n">
        <v>4</v>
      </c>
      <c r="B21" s="64"/>
      <c r="C21" s="63" t="s">
        <v>360</v>
      </c>
      <c r="D21" s="55" t="n">
        <v>4</v>
      </c>
      <c r="E21" s="55" t="n">
        <v>4</v>
      </c>
      <c r="F21" s="64"/>
      <c r="G21" s="63" t="s">
        <v>361</v>
      </c>
      <c r="H21" s="55" t="n">
        <v>2</v>
      </c>
    </row>
    <row r="22" customFormat="false" ht="15" hidden="false" customHeight="false" outlineLevel="0" collapsed="false">
      <c r="A22" s="55" t="n">
        <v>5</v>
      </c>
      <c r="B22" s="64"/>
      <c r="C22" s="63" t="s">
        <v>362</v>
      </c>
      <c r="D22" s="55" t="n">
        <v>4</v>
      </c>
      <c r="E22" s="55" t="n">
        <v>5</v>
      </c>
      <c r="F22" s="64"/>
      <c r="G22" s="63" t="s">
        <v>363</v>
      </c>
      <c r="H22" s="55" t="n">
        <v>2</v>
      </c>
    </row>
    <row r="23" customFormat="false" ht="15" hidden="false" customHeight="false" outlineLevel="0" collapsed="false">
      <c r="A23" s="51" t="n">
        <v>1</v>
      </c>
      <c r="B23" s="61" t="s">
        <v>308</v>
      </c>
      <c r="C23" s="61" t="s">
        <v>364</v>
      </c>
      <c r="D23" s="51" t="n">
        <v>3</v>
      </c>
      <c r="E23" s="51" t="n">
        <v>1</v>
      </c>
      <c r="F23" s="61" t="s">
        <v>310</v>
      </c>
      <c r="G23" s="61" t="s">
        <v>365</v>
      </c>
      <c r="H23" s="51" t="n">
        <v>3</v>
      </c>
    </row>
    <row r="24" customFormat="false" ht="15" hidden="false" customHeight="false" outlineLevel="0" collapsed="false">
      <c r="A24" s="51" t="n">
        <v>2</v>
      </c>
      <c r="B24" s="62"/>
      <c r="C24" s="61" t="s">
        <v>366</v>
      </c>
      <c r="D24" s="51" t="n">
        <v>2</v>
      </c>
      <c r="E24" s="51" t="n">
        <v>2</v>
      </c>
      <c r="F24" s="62"/>
      <c r="G24" s="61" t="s">
        <v>367</v>
      </c>
      <c r="H24" s="51" t="n">
        <v>1</v>
      </c>
    </row>
    <row r="25" customFormat="false" ht="15" hidden="false" customHeight="false" outlineLevel="0" collapsed="false">
      <c r="A25" s="51" t="n">
        <v>3</v>
      </c>
      <c r="B25" s="62"/>
      <c r="C25" s="61" t="s">
        <v>368</v>
      </c>
      <c r="D25" s="51" t="n">
        <v>2</v>
      </c>
      <c r="E25" s="51" t="n">
        <v>3</v>
      </c>
      <c r="F25" s="62"/>
      <c r="G25" s="61" t="s">
        <v>369</v>
      </c>
      <c r="H25" s="51" t="n">
        <v>1</v>
      </c>
    </row>
    <row r="26" customFormat="false" ht="15" hidden="false" customHeight="false" outlineLevel="0" collapsed="false">
      <c r="A26" s="51" t="n">
        <v>4</v>
      </c>
      <c r="B26" s="62"/>
      <c r="C26" s="61" t="s">
        <v>370</v>
      </c>
      <c r="D26" s="51" t="n">
        <v>2</v>
      </c>
      <c r="E26" s="51" t="n">
        <v>4</v>
      </c>
      <c r="F26" s="62"/>
      <c r="G26" s="61" t="s">
        <v>371</v>
      </c>
      <c r="H26" s="51" t="n">
        <v>1</v>
      </c>
    </row>
    <row r="27" customFormat="false" ht="15" hidden="false" customHeight="false" outlineLevel="0" collapsed="false">
      <c r="A27" s="51" t="n">
        <v>5</v>
      </c>
      <c r="B27" s="62"/>
      <c r="C27" s="61" t="s">
        <v>372</v>
      </c>
      <c r="D27" s="51" t="n">
        <v>2</v>
      </c>
      <c r="E27" s="51" t="n">
        <v>5</v>
      </c>
      <c r="F27" s="62"/>
      <c r="G27" s="61" t="s">
        <v>346</v>
      </c>
      <c r="H27" s="51" t="n">
        <v>1</v>
      </c>
    </row>
    <row r="29" customFormat="false" ht="15" hidden="false" customHeight="false" outlineLevel="0" collapsed="false">
      <c r="A29" s="49" t="s">
        <v>319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15" min="4" style="0" width="11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16.15" hidden="false" customHeight="false" outlineLevel="0" collapsed="false">
      <c r="A1" s="48" t="s">
        <v>373</v>
      </c>
    </row>
    <row r="2" customFormat="false" ht="15" hidden="false" customHeight="false" outlineLevel="0" collapsed="false">
      <c r="A2" s="65" t="s">
        <v>374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375</v>
      </c>
      <c r="D3" s="19" t="s">
        <v>376</v>
      </c>
      <c r="E3" s="19" t="s">
        <v>236</v>
      </c>
      <c r="F3" s="19" t="s">
        <v>11</v>
      </c>
      <c r="G3" s="19" t="s">
        <v>5</v>
      </c>
      <c r="H3" s="19"/>
      <c r="I3" s="19"/>
      <c r="J3" s="19"/>
      <c r="K3" s="19"/>
      <c r="L3" s="19" t="s">
        <v>6</v>
      </c>
      <c r="M3" s="19" t="s">
        <v>237</v>
      </c>
      <c r="N3" s="19"/>
      <c r="O3" s="19"/>
      <c r="P3" s="19" t="s">
        <v>134</v>
      </c>
      <c r="Q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19"/>
      <c r="G4" s="50" t="s">
        <v>239</v>
      </c>
      <c r="H4" s="50" t="s">
        <v>240</v>
      </c>
      <c r="I4" s="50" t="s">
        <v>241</v>
      </c>
      <c r="J4" s="50" t="s">
        <v>240</v>
      </c>
      <c r="K4" s="50" t="s">
        <v>242</v>
      </c>
      <c r="L4" s="19"/>
      <c r="M4" s="50" t="s">
        <v>377</v>
      </c>
      <c r="N4" s="50" t="s">
        <v>378</v>
      </c>
      <c r="O4" s="50" t="s">
        <v>245</v>
      </c>
      <c r="P4" s="19"/>
      <c r="Q4" s="19"/>
    </row>
    <row r="5" customFormat="false" ht="15" hidden="false" customHeight="false" outlineLevel="0" collapsed="false">
      <c r="A5" s="51" t="n">
        <v>1</v>
      </c>
      <c r="B5" s="52" t="s">
        <v>247</v>
      </c>
      <c r="C5" s="52" t="s">
        <v>247</v>
      </c>
      <c r="D5" s="53" t="n">
        <v>34</v>
      </c>
      <c r="E5" s="53" t="n">
        <v>64</v>
      </c>
      <c r="F5" s="21" t="n">
        <f aca="false">D5+E5</f>
        <v>98</v>
      </c>
      <c r="G5" s="53" t="n">
        <v>70</v>
      </c>
      <c r="H5" s="54" t="n">
        <f aca="false">IFERROR(G5/K5,0)</f>
        <v>0.864197530864198</v>
      </c>
      <c r="I5" s="53" t="n">
        <v>11</v>
      </c>
      <c r="J5" s="54" t="n">
        <f aca="false">IFERROR(I5/K5,0)</f>
        <v>0.135802469135802</v>
      </c>
      <c r="K5" s="21" t="n">
        <f aca="false">G5+I5</f>
        <v>81</v>
      </c>
      <c r="L5" s="21" t="n">
        <f aca="false">F5-K5</f>
        <v>17</v>
      </c>
      <c r="M5" s="53" t="n">
        <v>17</v>
      </c>
      <c r="N5" s="53" t="n">
        <v>0</v>
      </c>
      <c r="O5" s="53" t="n">
        <v>0</v>
      </c>
      <c r="P5" s="21" t="n">
        <f aca="false">SUM(N5:O5)</f>
        <v>0</v>
      </c>
      <c r="Q5" s="21" t="n">
        <f aca="false">L5-SUM(M5:O5)</f>
        <v>0</v>
      </c>
    </row>
    <row r="6" customFormat="false" ht="15" hidden="false" customHeight="false" outlineLevel="0" collapsed="false">
      <c r="A6" s="55" t="n">
        <v>2</v>
      </c>
      <c r="B6" s="56" t="s">
        <v>248</v>
      </c>
      <c r="C6" s="56" t="s">
        <v>248</v>
      </c>
      <c r="D6" s="57" t="n">
        <v>69</v>
      </c>
      <c r="E6" s="57" t="n">
        <v>177</v>
      </c>
      <c r="F6" s="26" t="n">
        <f aca="false">D6+E6</f>
        <v>246</v>
      </c>
      <c r="G6" s="57" t="n">
        <v>140</v>
      </c>
      <c r="H6" s="58" t="n">
        <f aca="false">IFERROR(G6/K6,0)</f>
        <v>0.782122905027933</v>
      </c>
      <c r="I6" s="57" t="n">
        <v>39</v>
      </c>
      <c r="J6" s="58" t="n">
        <f aca="false">IFERROR(I6/K6,0)</f>
        <v>0.217877094972067</v>
      </c>
      <c r="K6" s="26" t="n">
        <f aca="false">G6+I6</f>
        <v>179</v>
      </c>
      <c r="L6" s="26" t="n">
        <f aca="false">F6-K6</f>
        <v>67</v>
      </c>
      <c r="M6" s="57" t="n">
        <v>67</v>
      </c>
      <c r="N6" s="57" t="n">
        <v>0</v>
      </c>
      <c r="O6" s="57" t="n">
        <v>0</v>
      </c>
      <c r="P6" s="26" t="n">
        <f aca="false">SUM(N6:O6)</f>
        <v>0</v>
      </c>
      <c r="Q6" s="26" t="n">
        <f aca="false">L6-SUM(M6:O6)</f>
        <v>0</v>
      </c>
    </row>
    <row r="7" customFormat="false" ht="15" hidden="false" customHeight="false" outlineLevel="0" collapsed="false">
      <c r="A7" s="51" t="n">
        <v>3</v>
      </c>
      <c r="B7" s="52" t="s">
        <v>251</v>
      </c>
      <c r="C7" s="52" t="s">
        <v>379</v>
      </c>
      <c r="D7" s="53" t="n">
        <v>25</v>
      </c>
      <c r="E7" s="53" t="n">
        <v>123</v>
      </c>
      <c r="F7" s="21" t="n">
        <f aca="false">D7+E7</f>
        <v>148</v>
      </c>
      <c r="G7" s="53" t="n">
        <v>99</v>
      </c>
      <c r="H7" s="54" t="n">
        <f aca="false">IFERROR(G7/K7,0)</f>
        <v>0.883928571428571</v>
      </c>
      <c r="I7" s="53" t="n">
        <v>13</v>
      </c>
      <c r="J7" s="54" t="n">
        <f aca="false">IFERROR(I7/K7,0)</f>
        <v>0.116071428571429</v>
      </c>
      <c r="K7" s="21" t="n">
        <f aca="false">G7+I7</f>
        <v>112</v>
      </c>
      <c r="L7" s="21" t="n">
        <f aca="false">F7-K7</f>
        <v>36</v>
      </c>
      <c r="M7" s="53" t="n">
        <v>36</v>
      </c>
      <c r="N7" s="53" t="n">
        <v>0</v>
      </c>
      <c r="O7" s="53" t="n">
        <v>0</v>
      </c>
      <c r="P7" s="21" t="n">
        <f aca="false">SUM(N7:O7)</f>
        <v>0</v>
      </c>
      <c r="Q7" s="21" t="n">
        <f aca="false">L7-SUM(M7:O7)</f>
        <v>0</v>
      </c>
    </row>
    <row r="8" customFormat="false" ht="15" hidden="false" customHeight="false" outlineLevel="0" collapsed="false">
      <c r="A8" s="55" t="n">
        <v>4</v>
      </c>
      <c r="B8" s="56" t="s">
        <v>251</v>
      </c>
      <c r="C8" s="56" t="s">
        <v>251</v>
      </c>
      <c r="D8" s="57" t="n">
        <v>7</v>
      </c>
      <c r="E8" s="57" t="n">
        <v>160</v>
      </c>
      <c r="F8" s="26" t="n">
        <f aca="false">D8+E8</f>
        <v>167</v>
      </c>
      <c r="G8" s="57" t="n">
        <v>149</v>
      </c>
      <c r="H8" s="58" t="n">
        <f aca="false">IFERROR(G8/K8,0)</f>
        <v>0.892215568862276</v>
      </c>
      <c r="I8" s="57" t="n">
        <v>18</v>
      </c>
      <c r="J8" s="58" t="n">
        <f aca="false">IFERROR(I8/K8,0)</f>
        <v>0.107784431137725</v>
      </c>
      <c r="K8" s="26" t="n">
        <f aca="false">G8+I8</f>
        <v>167</v>
      </c>
      <c r="L8" s="26" t="n">
        <f aca="false">F8-K8</f>
        <v>0</v>
      </c>
      <c r="M8" s="57" t="n">
        <v>0</v>
      </c>
      <c r="N8" s="57" t="n">
        <v>0</v>
      </c>
      <c r="O8" s="57" t="n">
        <v>0</v>
      </c>
      <c r="P8" s="26" t="n">
        <f aca="false">SUM(N8:O8)</f>
        <v>0</v>
      </c>
      <c r="Q8" s="26" t="n">
        <f aca="false">L8-SUM(M8:O8)</f>
        <v>0</v>
      </c>
    </row>
    <row r="9" customFormat="false" ht="15" hidden="false" customHeight="false" outlineLevel="0" collapsed="false">
      <c r="A9" s="51" t="n">
        <v>5</v>
      </c>
      <c r="B9" s="52" t="s">
        <v>380</v>
      </c>
      <c r="C9" s="52" t="s">
        <v>380</v>
      </c>
      <c r="D9" s="53" t="n">
        <v>131</v>
      </c>
      <c r="E9" s="53" t="n">
        <v>234</v>
      </c>
      <c r="F9" s="21" t="n">
        <f aca="false">D9+E9</f>
        <v>365</v>
      </c>
      <c r="G9" s="53" t="n">
        <v>208</v>
      </c>
      <c r="H9" s="54" t="n">
        <f aca="false">IFERROR(G9/K9,0)</f>
        <v>0.793893129770992</v>
      </c>
      <c r="I9" s="53" t="n">
        <v>54</v>
      </c>
      <c r="J9" s="54" t="n">
        <f aca="false">IFERROR(I9/K9,0)</f>
        <v>0.206106870229008</v>
      </c>
      <c r="K9" s="21" t="n">
        <f aca="false">G9+I9</f>
        <v>262</v>
      </c>
      <c r="L9" s="21" t="n">
        <f aca="false">F9-K9</f>
        <v>103</v>
      </c>
      <c r="M9" s="53" t="n">
        <v>103</v>
      </c>
      <c r="N9" s="53" t="n">
        <v>0</v>
      </c>
      <c r="O9" s="53" t="n">
        <v>0</v>
      </c>
      <c r="P9" s="21" t="n">
        <f aca="false">SUM(N9:O9)</f>
        <v>0</v>
      </c>
      <c r="Q9" s="21" t="n">
        <f aca="false">L9-SUM(M9:O9)</f>
        <v>0</v>
      </c>
    </row>
    <row r="10" customFormat="false" ht="15" hidden="false" customHeight="false" outlineLevel="0" collapsed="false">
      <c r="A10" s="59"/>
      <c r="B10" s="28" t="s">
        <v>381</v>
      </c>
      <c r="C10" s="28"/>
      <c r="D10" s="30" t="n">
        <f aca="false">SUM(D5:INDEX(D:D,ROW()-1))</f>
        <v>266</v>
      </c>
      <c r="E10" s="30" t="n">
        <f aca="false">SUM(E5:INDEX(E:E,ROW()-1))</f>
        <v>758</v>
      </c>
      <c r="F10" s="30" t="n">
        <f aca="false">D10+E10</f>
        <v>1024</v>
      </c>
      <c r="G10" s="30" t="n">
        <f aca="false">SUM(G5:INDEX(G:G,ROW()-1))</f>
        <v>666</v>
      </c>
      <c r="H10" s="60" t="n">
        <f aca="false">IFERROR(G10/K10,0)</f>
        <v>0.831460674157303</v>
      </c>
      <c r="I10" s="30" t="n">
        <f aca="false">SUM(I5:INDEX(I:I,ROW()-1))</f>
        <v>135</v>
      </c>
      <c r="J10" s="60" t="n">
        <f aca="false">IFERROR(I10/K10,0)</f>
        <v>0.168539325842697</v>
      </c>
      <c r="K10" s="30" t="n">
        <f aca="false">G10+I10</f>
        <v>801</v>
      </c>
      <c r="L10" s="30" t="n">
        <f aca="false">F10-K10</f>
        <v>223</v>
      </c>
      <c r="M10" s="30" t="n">
        <f aca="false">SUM(M5:INDEX(M:M,ROW()-1))</f>
        <v>223</v>
      </c>
      <c r="N10" s="30" t="n">
        <f aca="false">SUM(N5:INDEX(N:N,ROW()-1))</f>
        <v>0</v>
      </c>
      <c r="O10" s="30" t="n">
        <f aca="false">SUM(O5:INDEX(O:O,ROW()-1))</f>
        <v>0</v>
      </c>
      <c r="P10" s="30" t="n">
        <f aca="false">SUM(N10:O10)</f>
        <v>0</v>
      </c>
      <c r="Q10" s="30" t="n">
        <f aca="false">L10-SUM(M10:O10)</f>
        <v>0</v>
      </c>
    </row>
    <row r="12" customFormat="false" ht="15" hidden="false" customHeight="false" outlineLevel="0" collapsed="false">
      <c r="A12" s="49" t="s">
        <v>256</v>
      </c>
    </row>
  </sheetData>
  <mergeCells count="11">
    <mergeCell ref="A3:A4"/>
    <mergeCell ref="B3:B4"/>
    <mergeCell ref="C3:C4"/>
    <mergeCell ref="D3:D4"/>
    <mergeCell ref="E3:E4"/>
    <mergeCell ref="F3:F4"/>
    <mergeCell ref="G3:K3"/>
    <mergeCell ref="L3:L4"/>
    <mergeCell ref="M3:O3"/>
    <mergeCell ref="P3:P4"/>
    <mergeCell ref="Q3:Q4"/>
  </mergeCells>
  <conditionalFormatting sqref="Q5:Q10">
    <cfRule type="cellIs" priority="2" operator="notEqual" aboveAverage="0" equalAverage="0" bottom="0" percent="0" rank="0" text="" dxfId="6">
      <formula>0</formula>
    </cfRule>
  </conditionalFormatting>
  <conditionalFormatting sqref="P5:P10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15" min="4" style="0" width="11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16.15" hidden="false" customHeight="false" outlineLevel="0" collapsed="false">
      <c r="A1" s="48" t="s">
        <v>382</v>
      </c>
    </row>
    <row r="2" customFormat="false" ht="15" hidden="false" customHeight="false" outlineLevel="0" collapsed="false">
      <c r="A2" s="49" t="s">
        <v>383</v>
      </c>
    </row>
    <row r="3" customFormat="false" ht="15" hidden="false" customHeight="true" outlineLevel="0" collapsed="false">
      <c r="A3" s="19" t="s">
        <v>234</v>
      </c>
      <c r="B3" s="19" t="s">
        <v>384</v>
      </c>
      <c r="C3" s="19" t="s">
        <v>15</v>
      </c>
      <c r="D3" s="19" t="s">
        <v>385</v>
      </c>
      <c r="E3" s="19" t="s">
        <v>236</v>
      </c>
      <c r="F3" s="19" t="s">
        <v>11</v>
      </c>
      <c r="G3" s="19" t="s">
        <v>5</v>
      </c>
      <c r="H3" s="19"/>
      <c r="I3" s="19"/>
      <c r="J3" s="19"/>
      <c r="K3" s="19"/>
      <c r="L3" s="19" t="s">
        <v>6</v>
      </c>
      <c r="M3" s="19" t="s">
        <v>237</v>
      </c>
      <c r="N3" s="19"/>
      <c r="O3" s="19"/>
      <c r="P3" s="19" t="s">
        <v>134</v>
      </c>
      <c r="Q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19"/>
      <c r="G4" s="50" t="s">
        <v>239</v>
      </c>
      <c r="H4" s="50" t="s">
        <v>240</v>
      </c>
      <c r="I4" s="50" t="s">
        <v>241</v>
      </c>
      <c r="J4" s="50" t="s">
        <v>240</v>
      </c>
      <c r="K4" s="50" t="s">
        <v>242</v>
      </c>
      <c r="L4" s="19"/>
      <c r="M4" s="50" t="s">
        <v>386</v>
      </c>
      <c r="N4" s="50" t="s">
        <v>245</v>
      </c>
      <c r="O4" s="50" t="s">
        <v>387</v>
      </c>
      <c r="P4" s="19"/>
      <c r="Q4" s="19"/>
    </row>
    <row r="5" customFormat="false" ht="15" hidden="false" customHeight="false" outlineLevel="0" collapsed="false">
      <c r="A5" s="51" t="n">
        <v>1</v>
      </c>
      <c r="B5" s="52" t="s">
        <v>284</v>
      </c>
      <c r="C5" s="52" t="s">
        <v>248</v>
      </c>
      <c r="D5" s="53" t="n">
        <v>454</v>
      </c>
      <c r="E5" s="53" t="n">
        <v>515</v>
      </c>
      <c r="F5" s="21" t="n">
        <f aca="false">D5+E5</f>
        <v>969</v>
      </c>
      <c r="G5" s="53" t="n">
        <v>493</v>
      </c>
      <c r="H5" s="54" t="n">
        <f aca="false">IFERROR(G5/K5,0)</f>
        <v>0.810855263157895</v>
      </c>
      <c r="I5" s="53" t="n">
        <v>115</v>
      </c>
      <c r="J5" s="54" t="n">
        <f aca="false">IFERROR(I5/K5,0)</f>
        <v>0.189144736842105</v>
      </c>
      <c r="K5" s="21" t="n">
        <f aca="false">G5+I5</f>
        <v>608</v>
      </c>
      <c r="L5" s="21" t="n">
        <f aca="false">F5-K5</f>
        <v>361</v>
      </c>
      <c r="M5" s="53" t="n">
        <v>361</v>
      </c>
      <c r="N5" s="53" t="n">
        <v>0</v>
      </c>
      <c r="O5" s="53" t="n">
        <v>0</v>
      </c>
      <c r="P5" s="21" t="n">
        <f aca="false">SUM(N5:O5)</f>
        <v>0</v>
      </c>
      <c r="Q5" s="21" t="n">
        <f aca="false">L5-SUM(M5:O5)</f>
        <v>0</v>
      </c>
    </row>
    <row r="6" customFormat="false" ht="15" hidden="false" customHeight="false" outlineLevel="0" collapsed="false">
      <c r="A6" s="55" t="n">
        <v>2</v>
      </c>
      <c r="B6" s="56" t="s">
        <v>284</v>
      </c>
      <c r="C6" s="56" t="s">
        <v>251</v>
      </c>
      <c r="D6" s="57" t="n">
        <v>515</v>
      </c>
      <c r="E6" s="57" t="n">
        <v>515</v>
      </c>
      <c r="F6" s="26" t="n">
        <f aca="false">D6+E6</f>
        <v>1030</v>
      </c>
      <c r="G6" s="57" t="n">
        <v>430</v>
      </c>
      <c r="H6" s="58" t="n">
        <f aca="false">IFERROR(G6/K6,0)</f>
        <v>0.814393939393939</v>
      </c>
      <c r="I6" s="57" t="n">
        <v>98</v>
      </c>
      <c r="J6" s="58" t="n">
        <f aca="false">IFERROR(I6/K6,0)</f>
        <v>0.185606060606061</v>
      </c>
      <c r="K6" s="26" t="n">
        <f aca="false">G6+I6</f>
        <v>528</v>
      </c>
      <c r="L6" s="26" t="n">
        <f aca="false">F6-K6</f>
        <v>502</v>
      </c>
      <c r="M6" s="57" t="n">
        <v>488</v>
      </c>
      <c r="N6" s="57" t="n">
        <v>14</v>
      </c>
      <c r="O6" s="57" t="n">
        <v>0</v>
      </c>
      <c r="P6" s="26" t="n">
        <f aca="false">SUM(N6:O6)</f>
        <v>14</v>
      </c>
      <c r="Q6" s="26" t="n">
        <f aca="false">L6-SUM(M6:O6)</f>
        <v>0</v>
      </c>
    </row>
    <row r="7" customFormat="false" ht="15" hidden="false" customHeight="false" outlineLevel="0" collapsed="false">
      <c r="A7" s="51" t="n">
        <v>3</v>
      </c>
      <c r="B7" s="52" t="s">
        <v>284</v>
      </c>
      <c r="C7" s="52" t="s">
        <v>250</v>
      </c>
      <c r="D7" s="53" t="n">
        <v>352</v>
      </c>
      <c r="E7" s="53" t="n">
        <v>560</v>
      </c>
      <c r="F7" s="21" t="n">
        <f aca="false">D7+E7</f>
        <v>912</v>
      </c>
      <c r="G7" s="53" t="n">
        <v>400</v>
      </c>
      <c r="H7" s="54" t="n">
        <f aca="false">IFERROR(G7/K7,0)</f>
        <v>0.798403193612775</v>
      </c>
      <c r="I7" s="53" t="n">
        <v>101</v>
      </c>
      <c r="J7" s="54" t="n">
        <f aca="false">IFERROR(I7/K7,0)</f>
        <v>0.201596806387226</v>
      </c>
      <c r="K7" s="21" t="n">
        <f aca="false">G7+I7</f>
        <v>501</v>
      </c>
      <c r="L7" s="21" t="n">
        <f aca="false">F7-K7</f>
        <v>411</v>
      </c>
      <c r="M7" s="53" t="n">
        <v>406</v>
      </c>
      <c r="N7" s="53" t="n">
        <v>5</v>
      </c>
      <c r="O7" s="53" t="n">
        <v>0</v>
      </c>
      <c r="P7" s="21" t="n">
        <f aca="false">SUM(N7:O7)</f>
        <v>5</v>
      </c>
      <c r="Q7" s="21" t="n">
        <f aca="false">L7-SUM(M7:O7)</f>
        <v>0</v>
      </c>
    </row>
    <row r="8" customFormat="false" ht="15" hidden="false" customHeight="false" outlineLevel="0" collapsed="false">
      <c r="A8" s="55" t="n">
        <v>4</v>
      </c>
      <c r="B8" s="56" t="s">
        <v>272</v>
      </c>
      <c r="C8" s="56" t="s">
        <v>247</v>
      </c>
      <c r="D8" s="57" t="n">
        <v>353</v>
      </c>
      <c r="E8" s="57" t="n">
        <v>495</v>
      </c>
      <c r="F8" s="26" t="n">
        <f aca="false">D8+E8</f>
        <v>848</v>
      </c>
      <c r="G8" s="57" t="n">
        <v>391</v>
      </c>
      <c r="H8" s="58" t="n">
        <f aca="false">IFERROR(G8/K8,0)</f>
        <v>0.831914893617021</v>
      </c>
      <c r="I8" s="57" t="n">
        <v>79</v>
      </c>
      <c r="J8" s="58" t="n">
        <f aca="false">IFERROR(I8/K8,0)</f>
        <v>0.168085106382979</v>
      </c>
      <c r="K8" s="26" t="n">
        <f aca="false">G8+I8</f>
        <v>470</v>
      </c>
      <c r="L8" s="26" t="n">
        <f aca="false">F8-K8</f>
        <v>378</v>
      </c>
      <c r="M8" s="57" t="n">
        <v>378</v>
      </c>
      <c r="N8" s="57" t="n">
        <v>0</v>
      </c>
      <c r="O8" s="57" t="n">
        <v>0</v>
      </c>
      <c r="P8" s="26" t="n">
        <f aca="false">SUM(N8:O8)</f>
        <v>0</v>
      </c>
      <c r="Q8" s="26" t="n">
        <f aca="false">L8-SUM(M8:O8)</f>
        <v>0</v>
      </c>
    </row>
    <row r="9" customFormat="false" ht="15" hidden="false" customHeight="false" outlineLevel="0" collapsed="false">
      <c r="A9" s="51" t="n">
        <v>5</v>
      </c>
      <c r="B9" s="52" t="s">
        <v>272</v>
      </c>
      <c r="C9" s="52" t="s">
        <v>246</v>
      </c>
      <c r="D9" s="53" t="n">
        <v>295</v>
      </c>
      <c r="E9" s="53" t="n">
        <v>323</v>
      </c>
      <c r="F9" s="21" t="n">
        <f aca="false">D9+E9</f>
        <v>618</v>
      </c>
      <c r="G9" s="53" t="n">
        <v>266</v>
      </c>
      <c r="H9" s="54" t="n">
        <f aca="false">IFERROR(G9/K9,0)</f>
        <v>0.823529411764706</v>
      </c>
      <c r="I9" s="53" t="n">
        <v>57</v>
      </c>
      <c r="J9" s="54" t="n">
        <f aca="false">IFERROR(I9/K9,0)</f>
        <v>0.176470588235294</v>
      </c>
      <c r="K9" s="21" t="n">
        <f aca="false">G9+I9</f>
        <v>323</v>
      </c>
      <c r="L9" s="21" t="n">
        <f aca="false">F9-K9</f>
        <v>295</v>
      </c>
      <c r="M9" s="53" t="n">
        <v>286</v>
      </c>
      <c r="N9" s="53" t="n">
        <v>9</v>
      </c>
      <c r="O9" s="53" t="n">
        <v>0</v>
      </c>
      <c r="P9" s="21" t="n">
        <f aca="false">SUM(N9:O9)</f>
        <v>9</v>
      </c>
      <c r="Q9" s="21" t="n">
        <f aca="false">L9-SUM(M9:O9)</f>
        <v>0</v>
      </c>
    </row>
    <row r="10" customFormat="false" ht="15" hidden="false" customHeight="false" outlineLevel="0" collapsed="false">
      <c r="A10" s="55" t="n">
        <v>6</v>
      </c>
      <c r="B10" s="56" t="s">
        <v>272</v>
      </c>
      <c r="C10" s="56" t="s">
        <v>252</v>
      </c>
      <c r="D10" s="57" t="n">
        <v>114</v>
      </c>
      <c r="E10" s="57" t="n">
        <v>141</v>
      </c>
      <c r="F10" s="26" t="n">
        <f aca="false">D10+E10</f>
        <v>255</v>
      </c>
      <c r="G10" s="57" t="n">
        <v>126</v>
      </c>
      <c r="H10" s="58" t="n">
        <f aca="false">IFERROR(G10/K10,0)</f>
        <v>0.91970802919708</v>
      </c>
      <c r="I10" s="57" t="n">
        <v>11</v>
      </c>
      <c r="J10" s="58" t="n">
        <f aca="false">IFERROR(I10/K10,0)</f>
        <v>0.0802919708029197</v>
      </c>
      <c r="K10" s="26" t="n">
        <f aca="false">G10+I10</f>
        <v>137</v>
      </c>
      <c r="L10" s="26" t="n">
        <f aca="false">F10-K10</f>
        <v>118</v>
      </c>
      <c r="M10" s="57" t="n">
        <v>117</v>
      </c>
      <c r="N10" s="57" t="n">
        <v>1</v>
      </c>
      <c r="O10" s="57" t="n">
        <v>0</v>
      </c>
      <c r="P10" s="26" t="n">
        <f aca="false">SUM(N10:O10)</f>
        <v>1</v>
      </c>
      <c r="Q10" s="26" t="n">
        <f aca="false">L10-SUM(M10:O10)</f>
        <v>0</v>
      </c>
    </row>
    <row r="11" customFormat="false" ht="15" hidden="false" customHeight="false" outlineLevel="0" collapsed="false">
      <c r="A11" s="51" t="n">
        <v>7</v>
      </c>
      <c r="B11" s="52" t="s">
        <v>272</v>
      </c>
      <c r="C11" s="52" t="s">
        <v>249</v>
      </c>
      <c r="D11" s="53" t="n">
        <v>300</v>
      </c>
      <c r="E11" s="53" t="n">
        <v>388</v>
      </c>
      <c r="F11" s="21" t="n">
        <f aca="false">D11+E11</f>
        <v>688</v>
      </c>
      <c r="G11" s="53" t="n">
        <v>314</v>
      </c>
      <c r="H11" s="54" t="n">
        <f aca="false">IFERROR(G11/K11,0)</f>
        <v>0.907514450867052</v>
      </c>
      <c r="I11" s="53" t="n">
        <v>32</v>
      </c>
      <c r="J11" s="54" t="n">
        <f aca="false">IFERROR(I11/K11,0)</f>
        <v>0.092485549132948</v>
      </c>
      <c r="K11" s="21" t="n">
        <f aca="false">G11+I11</f>
        <v>346</v>
      </c>
      <c r="L11" s="21" t="n">
        <f aca="false">F11-K11</f>
        <v>342</v>
      </c>
      <c r="M11" s="53" t="n">
        <v>336</v>
      </c>
      <c r="N11" s="53" t="n">
        <v>6</v>
      </c>
      <c r="O11" s="53" t="n">
        <v>0</v>
      </c>
      <c r="P11" s="21" t="n">
        <f aca="false">SUM(N11:O11)</f>
        <v>6</v>
      </c>
      <c r="Q11" s="21" t="n">
        <f aca="false">L11-SUM(M11:O11)</f>
        <v>0</v>
      </c>
    </row>
    <row r="12" customFormat="false" ht="15" hidden="false" customHeight="false" outlineLevel="0" collapsed="false">
      <c r="A12" s="55" t="n">
        <v>8</v>
      </c>
      <c r="B12" s="56" t="s">
        <v>262</v>
      </c>
      <c r="C12" s="56" t="s">
        <v>255</v>
      </c>
      <c r="D12" s="57" t="n">
        <v>412</v>
      </c>
      <c r="E12" s="57" t="n">
        <v>457</v>
      </c>
      <c r="F12" s="26" t="n">
        <f aca="false">D12+E12</f>
        <v>869</v>
      </c>
      <c r="G12" s="57" t="n">
        <v>364</v>
      </c>
      <c r="H12" s="58" t="n">
        <f aca="false">IFERROR(G12/K12,0)</f>
        <v>0.816143497757848</v>
      </c>
      <c r="I12" s="57" t="n">
        <v>82</v>
      </c>
      <c r="J12" s="58" t="n">
        <f aca="false">IFERROR(I12/K12,0)</f>
        <v>0.183856502242152</v>
      </c>
      <c r="K12" s="26" t="n">
        <f aca="false">G12+I12</f>
        <v>446</v>
      </c>
      <c r="L12" s="26" t="n">
        <f aca="false">F12-K12</f>
        <v>423</v>
      </c>
      <c r="M12" s="57" t="n">
        <v>423</v>
      </c>
      <c r="N12" s="57" t="n">
        <v>0</v>
      </c>
      <c r="O12" s="57" t="n">
        <v>0</v>
      </c>
      <c r="P12" s="26" t="n">
        <f aca="false">SUM(N12:O12)</f>
        <v>0</v>
      </c>
      <c r="Q12" s="26" t="n">
        <f aca="false">L12-SUM(M12:O12)</f>
        <v>0</v>
      </c>
    </row>
    <row r="13" customFormat="false" ht="15" hidden="false" customHeight="false" outlineLevel="0" collapsed="false">
      <c r="A13" s="51" t="n">
        <v>9</v>
      </c>
      <c r="B13" s="52" t="s">
        <v>262</v>
      </c>
      <c r="C13" s="52" t="s">
        <v>253</v>
      </c>
      <c r="D13" s="53" t="n">
        <v>277</v>
      </c>
      <c r="E13" s="53" t="n">
        <v>250</v>
      </c>
      <c r="F13" s="21" t="n">
        <f aca="false">D13+E13</f>
        <v>527</v>
      </c>
      <c r="G13" s="53" t="n">
        <v>215</v>
      </c>
      <c r="H13" s="54" t="n">
        <f aca="false">IFERROR(G13/K13,0)</f>
        <v>0.870445344129555</v>
      </c>
      <c r="I13" s="53" t="n">
        <v>32</v>
      </c>
      <c r="J13" s="54" t="n">
        <f aca="false">IFERROR(I13/K13,0)</f>
        <v>0.129554655870445</v>
      </c>
      <c r="K13" s="21" t="n">
        <f aca="false">G13+I13</f>
        <v>247</v>
      </c>
      <c r="L13" s="21" t="n">
        <f aca="false">F13-K13</f>
        <v>280</v>
      </c>
      <c r="M13" s="53" t="n">
        <v>280</v>
      </c>
      <c r="N13" s="53" t="n">
        <v>0</v>
      </c>
      <c r="O13" s="53" t="n">
        <v>0</v>
      </c>
      <c r="P13" s="21" t="n">
        <f aca="false">SUM(N13:O13)</f>
        <v>0</v>
      </c>
      <c r="Q13" s="21" t="n">
        <f aca="false">L13-SUM(M13:O13)</f>
        <v>0</v>
      </c>
    </row>
    <row r="14" customFormat="false" ht="15" hidden="false" customHeight="false" outlineLevel="0" collapsed="false">
      <c r="A14" s="55" t="n">
        <v>10</v>
      </c>
      <c r="B14" s="56" t="s">
        <v>262</v>
      </c>
      <c r="C14" s="56" t="s">
        <v>254</v>
      </c>
      <c r="D14" s="57" t="n">
        <v>343</v>
      </c>
      <c r="E14" s="57" t="n">
        <v>326</v>
      </c>
      <c r="F14" s="26" t="n">
        <f aca="false">D14+E14</f>
        <v>669</v>
      </c>
      <c r="G14" s="57" t="n">
        <v>292</v>
      </c>
      <c r="H14" s="58" t="n">
        <f aca="false">IFERROR(G14/K14,0)</f>
        <v>0.856304985337243</v>
      </c>
      <c r="I14" s="57" t="n">
        <v>49</v>
      </c>
      <c r="J14" s="58" t="n">
        <f aca="false">IFERROR(I14/K14,0)</f>
        <v>0.143695014662757</v>
      </c>
      <c r="K14" s="26" t="n">
        <f aca="false">G14+I14</f>
        <v>341</v>
      </c>
      <c r="L14" s="26" t="n">
        <f aca="false">F14-K14</f>
        <v>328</v>
      </c>
      <c r="M14" s="57" t="n">
        <v>326</v>
      </c>
      <c r="N14" s="57" t="n">
        <v>2</v>
      </c>
      <c r="O14" s="57" t="n">
        <v>0</v>
      </c>
      <c r="P14" s="26" t="n">
        <f aca="false">SUM(N14:O14)</f>
        <v>2</v>
      </c>
      <c r="Q14" s="26" t="n">
        <f aca="false">L14-SUM(M14:O14)</f>
        <v>0</v>
      </c>
    </row>
    <row r="15" customFormat="false" ht="15" hidden="false" customHeight="false" outlineLevel="0" collapsed="false">
      <c r="A15" s="59"/>
      <c r="B15" s="28"/>
      <c r="C15" s="28" t="s">
        <v>11</v>
      </c>
      <c r="D15" s="30" t="n">
        <f aca="false">SUM(D5:INDEX(D:D,ROW()-1))</f>
        <v>3415</v>
      </c>
      <c r="E15" s="30" t="n">
        <f aca="false">SUM(E5:INDEX(E:E,ROW()-1))</f>
        <v>3970</v>
      </c>
      <c r="F15" s="30" t="n">
        <f aca="false">D15+E15</f>
        <v>7385</v>
      </c>
      <c r="G15" s="30" t="n">
        <f aca="false">SUM(G5:INDEX(G:G,ROW()-1))</f>
        <v>3291</v>
      </c>
      <c r="H15" s="60" t="n">
        <f aca="false">IFERROR(G15/K15,0)</f>
        <v>0.833797821129972</v>
      </c>
      <c r="I15" s="30" t="n">
        <f aca="false">SUM(I5:INDEX(I:I,ROW()-1))</f>
        <v>656</v>
      </c>
      <c r="J15" s="60" t="n">
        <f aca="false">IFERROR(I15/K15,0)</f>
        <v>0.166202178870028</v>
      </c>
      <c r="K15" s="30" t="n">
        <f aca="false">G15+I15</f>
        <v>3947</v>
      </c>
      <c r="L15" s="30" t="n">
        <f aca="false">F15-K15</f>
        <v>3438</v>
      </c>
      <c r="M15" s="30" t="n">
        <f aca="false">SUM(M5:INDEX(M:M,ROW()-1))</f>
        <v>3401</v>
      </c>
      <c r="N15" s="30" t="n">
        <f aca="false">SUM(N5:INDEX(N:N,ROW()-1))</f>
        <v>37</v>
      </c>
      <c r="O15" s="30" t="n">
        <f aca="false">SUM(O5:INDEX(O:O,ROW()-1))</f>
        <v>0</v>
      </c>
      <c r="P15" s="30" t="n">
        <f aca="false">SUM(N15:O15)</f>
        <v>37</v>
      </c>
      <c r="Q15" s="30" t="n">
        <f aca="false">L15-SUM(M15:O15)</f>
        <v>0</v>
      </c>
    </row>
    <row r="17" customFormat="false" ht="15" hidden="false" customHeight="false" outlineLevel="0" collapsed="false">
      <c r="A17" s="49" t="s">
        <v>256</v>
      </c>
    </row>
  </sheetData>
  <mergeCells count="11">
    <mergeCell ref="A3:A4"/>
    <mergeCell ref="B3:B4"/>
    <mergeCell ref="C3:C4"/>
    <mergeCell ref="D3:D4"/>
    <mergeCell ref="E3:E4"/>
    <mergeCell ref="F3:F4"/>
    <mergeCell ref="G3:K3"/>
    <mergeCell ref="L3:L4"/>
    <mergeCell ref="M3:O3"/>
    <mergeCell ref="P3:P4"/>
    <mergeCell ref="Q3:Q4"/>
  </mergeCells>
  <conditionalFormatting sqref="Q5:Q15">
    <cfRule type="cellIs" priority="2" operator="notEqual" aboveAverage="0" equalAverage="0" bottom="0" percent="0" rank="0" text="" dxfId="6">
      <formula>0</formula>
    </cfRule>
  </conditionalFormatting>
  <conditionalFormatting sqref="P5:P15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48" t="s">
        <v>388</v>
      </c>
    </row>
    <row r="2" customFormat="false" ht="22.35" hidden="false" customHeight="false" outlineLevel="0" collapsed="false">
      <c r="A2" s="19" t="s">
        <v>234</v>
      </c>
      <c r="B2" s="19" t="s">
        <v>15</v>
      </c>
      <c r="C2" s="19" t="s">
        <v>258</v>
      </c>
      <c r="D2" s="19" t="s">
        <v>259</v>
      </c>
      <c r="E2" s="19" t="s">
        <v>234</v>
      </c>
      <c r="F2" s="19" t="s">
        <v>15</v>
      </c>
      <c r="G2" s="19" t="s">
        <v>258</v>
      </c>
      <c r="H2" s="19" t="s">
        <v>259</v>
      </c>
    </row>
    <row r="3" customFormat="false" ht="15" hidden="false" customHeight="false" outlineLevel="0" collapsed="false">
      <c r="A3" s="51" t="n">
        <v>1</v>
      </c>
      <c r="B3" s="61" t="s">
        <v>260</v>
      </c>
      <c r="C3" s="61" t="s">
        <v>389</v>
      </c>
      <c r="D3" s="51" t="n">
        <v>9</v>
      </c>
      <c r="E3" s="51" t="n">
        <v>1</v>
      </c>
      <c r="F3" s="61" t="s">
        <v>262</v>
      </c>
      <c r="G3" s="61" t="s">
        <v>390</v>
      </c>
      <c r="H3" s="51" t="n">
        <v>6</v>
      </c>
    </row>
    <row r="4" customFormat="false" ht="15" hidden="false" customHeight="false" outlineLevel="0" collapsed="false">
      <c r="A4" s="51" t="n">
        <v>2</v>
      </c>
      <c r="B4" s="62"/>
      <c r="C4" s="61" t="s">
        <v>261</v>
      </c>
      <c r="D4" s="51" t="n">
        <v>4</v>
      </c>
      <c r="E4" s="51" t="n">
        <v>2</v>
      </c>
      <c r="F4" s="62"/>
      <c r="G4" s="61" t="s">
        <v>391</v>
      </c>
      <c r="H4" s="51" t="n">
        <v>4</v>
      </c>
    </row>
    <row r="5" customFormat="false" ht="15" hidden="false" customHeight="false" outlineLevel="0" collapsed="false">
      <c r="A5" s="51" t="n">
        <v>3</v>
      </c>
      <c r="B5" s="62"/>
      <c r="C5" s="61" t="s">
        <v>392</v>
      </c>
      <c r="D5" s="51" t="n">
        <v>3</v>
      </c>
      <c r="E5" s="51" t="n">
        <v>3</v>
      </c>
      <c r="F5" s="62"/>
      <c r="G5" s="61" t="s">
        <v>393</v>
      </c>
      <c r="H5" s="51" t="n">
        <v>4</v>
      </c>
    </row>
    <row r="6" customFormat="false" ht="15" hidden="false" customHeight="false" outlineLevel="0" collapsed="false">
      <c r="A6" s="51" t="n">
        <v>4</v>
      </c>
      <c r="B6" s="62"/>
      <c r="C6" s="61" t="s">
        <v>394</v>
      </c>
      <c r="D6" s="51" t="n">
        <v>3</v>
      </c>
      <c r="E6" s="51" t="n">
        <v>4</v>
      </c>
      <c r="F6" s="62"/>
      <c r="G6" s="61" t="s">
        <v>395</v>
      </c>
      <c r="H6" s="51" t="n">
        <v>3</v>
      </c>
    </row>
    <row r="7" customFormat="false" ht="15" hidden="false" customHeight="false" outlineLevel="0" collapsed="false">
      <c r="A7" s="51" t="n">
        <v>5</v>
      </c>
      <c r="B7" s="62"/>
      <c r="C7" s="61" t="s">
        <v>396</v>
      </c>
      <c r="D7" s="51" t="n">
        <v>3</v>
      </c>
      <c r="E7" s="51" t="n">
        <v>5</v>
      </c>
      <c r="F7" s="62"/>
      <c r="G7" s="61" t="s">
        <v>397</v>
      </c>
      <c r="H7" s="51" t="n">
        <v>3</v>
      </c>
    </row>
    <row r="8" customFormat="false" ht="15" hidden="false" customHeight="false" outlineLevel="0" collapsed="false">
      <c r="A8" s="55" t="n">
        <v>1</v>
      </c>
      <c r="B8" s="63" t="s">
        <v>272</v>
      </c>
      <c r="C8" s="63" t="s">
        <v>398</v>
      </c>
      <c r="D8" s="55" t="n">
        <v>6</v>
      </c>
      <c r="E8" s="55" t="n">
        <v>1</v>
      </c>
      <c r="F8" s="63" t="s">
        <v>274</v>
      </c>
      <c r="G8" s="63" t="s">
        <v>399</v>
      </c>
      <c r="H8" s="55" t="n">
        <v>5</v>
      </c>
    </row>
    <row r="9" customFormat="false" ht="15" hidden="false" customHeight="false" outlineLevel="0" collapsed="false">
      <c r="A9" s="55" t="n">
        <v>2</v>
      </c>
      <c r="B9" s="64"/>
      <c r="C9" s="63" t="s">
        <v>400</v>
      </c>
      <c r="D9" s="55" t="n">
        <v>6</v>
      </c>
      <c r="E9" s="55" t="n">
        <v>2</v>
      </c>
      <c r="F9" s="64"/>
      <c r="G9" s="63" t="s">
        <v>401</v>
      </c>
      <c r="H9" s="55" t="n">
        <v>4</v>
      </c>
    </row>
    <row r="10" customFormat="false" ht="15" hidden="false" customHeight="false" outlineLevel="0" collapsed="false">
      <c r="A10" s="55" t="n">
        <v>3</v>
      </c>
      <c r="B10" s="64"/>
      <c r="C10" s="63" t="s">
        <v>402</v>
      </c>
      <c r="D10" s="55" t="n">
        <v>5</v>
      </c>
      <c r="E10" s="55" t="n">
        <v>3</v>
      </c>
      <c r="F10" s="64"/>
      <c r="G10" s="63" t="s">
        <v>403</v>
      </c>
      <c r="H10" s="55" t="n">
        <v>4</v>
      </c>
    </row>
    <row r="11" customFormat="false" ht="15" hidden="false" customHeight="false" outlineLevel="0" collapsed="false">
      <c r="A11" s="55" t="n">
        <v>4</v>
      </c>
      <c r="B11" s="64"/>
      <c r="C11" s="63" t="s">
        <v>404</v>
      </c>
      <c r="D11" s="55" t="n">
        <v>5</v>
      </c>
      <c r="E11" s="55" t="n">
        <v>4</v>
      </c>
      <c r="F11" s="64"/>
      <c r="G11" s="63" t="s">
        <v>405</v>
      </c>
      <c r="H11" s="55" t="n">
        <v>3</v>
      </c>
    </row>
    <row r="12" customFormat="false" ht="15" hidden="false" customHeight="false" outlineLevel="0" collapsed="false">
      <c r="A12" s="55" t="n">
        <v>5</v>
      </c>
      <c r="B12" s="64"/>
      <c r="C12" s="63" t="s">
        <v>406</v>
      </c>
      <c r="D12" s="55" t="n">
        <v>5</v>
      </c>
      <c r="E12" s="55" t="n">
        <v>5</v>
      </c>
      <c r="F12" s="64"/>
      <c r="G12" s="63" t="s">
        <v>407</v>
      </c>
      <c r="H12" s="55" t="n">
        <v>3</v>
      </c>
    </row>
    <row r="13" customFormat="false" ht="15" hidden="false" customHeight="false" outlineLevel="0" collapsed="false">
      <c r="A13" s="51" t="n">
        <v>1</v>
      </c>
      <c r="B13" s="61" t="s">
        <v>284</v>
      </c>
      <c r="C13" s="61" t="s">
        <v>288</v>
      </c>
      <c r="D13" s="51" t="n">
        <v>10</v>
      </c>
      <c r="E13" s="51" t="n">
        <v>1</v>
      </c>
      <c r="F13" s="61" t="s">
        <v>286</v>
      </c>
      <c r="G13" s="61" t="s">
        <v>408</v>
      </c>
      <c r="H13" s="51" t="n">
        <v>5</v>
      </c>
    </row>
    <row r="14" customFormat="false" ht="15" hidden="false" customHeight="false" outlineLevel="0" collapsed="false">
      <c r="A14" s="51" t="n">
        <v>2</v>
      </c>
      <c r="B14" s="62"/>
      <c r="C14" s="61" t="s">
        <v>409</v>
      </c>
      <c r="D14" s="51" t="n">
        <v>7</v>
      </c>
      <c r="E14" s="51" t="n">
        <v>2</v>
      </c>
      <c r="F14" s="62"/>
      <c r="G14" s="61" t="s">
        <v>410</v>
      </c>
      <c r="H14" s="51" t="n">
        <v>3</v>
      </c>
    </row>
    <row r="15" customFormat="false" ht="15" hidden="false" customHeight="false" outlineLevel="0" collapsed="false">
      <c r="A15" s="51" t="n">
        <v>3</v>
      </c>
      <c r="B15" s="62"/>
      <c r="C15" s="61" t="s">
        <v>411</v>
      </c>
      <c r="D15" s="51" t="n">
        <v>6</v>
      </c>
      <c r="E15" s="51" t="n">
        <v>3</v>
      </c>
      <c r="F15" s="62"/>
      <c r="G15" s="61" t="s">
        <v>412</v>
      </c>
      <c r="H15" s="51" t="n">
        <v>3</v>
      </c>
    </row>
    <row r="16" customFormat="false" ht="15" hidden="false" customHeight="false" outlineLevel="0" collapsed="false">
      <c r="A16" s="51" t="n">
        <v>4</v>
      </c>
      <c r="B16" s="62"/>
      <c r="C16" s="61" t="s">
        <v>413</v>
      </c>
      <c r="D16" s="51" t="n">
        <v>5</v>
      </c>
      <c r="E16" s="51" t="n">
        <v>4</v>
      </c>
      <c r="F16" s="62"/>
      <c r="G16" s="61" t="s">
        <v>414</v>
      </c>
      <c r="H16" s="51" t="n">
        <v>3</v>
      </c>
    </row>
    <row r="17" customFormat="false" ht="15" hidden="false" customHeight="false" outlineLevel="0" collapsed="false">
      <c r="A17" s="51" t="n">
        <v>5</v>
      </c>
      <c r="B17" s="62"/>
      <c r="C17" s="61" t="s">
        <v>415</v>
      </c>
      <c r="D17" s="51" t="n">
        <v>4</v>
      </c>
      <c r="E17" s="51" t="n">
        <v>5</v>
      </c>
      <c r="F17" s="62"/>
      <c r="G17" s="61" t="s">
        <v>416</v>
      </c>
      <c r="H17" s="51" t="n">
        <v>2</v>
      </c>
    </row>
    <row r="18" customFormat="false" ht="15" hidden="false" customHeight="false" outlineLevel="0" collapsed="false">
      <c r="A18" s="55" t="n">
        <v>1</v>
      </c>
      <c r="B18" s="63" t="s">
        <v>296</v>
      </c>
      <c r="C18" s="63" t="s">
        <v>297</v>
      </c>
      <c r="D18" s="55" t="n">
        <v>10</v>
      </c>
      <c r="E18" s="55" t="n">
        <v>1</v>
      </c>
      <c r="F18" s="63" t="s">
        <v>298</v>
      </c>
      <c r="G18" s="63" t="s">
        <v>417</v>
      </c>
      <c r="H18" s="55" t="n">
        <v>4</v>
      </c>
    </row>
    <row r="19" customFormat="false" ht="15" hidden="false" customHeight="false" outlineLevel="0" collapsed="false">
      <c r="A19" s="55" t="n">
        <v>2</v>
      </c>
      <c r="B19" s="64"/>
      <c r="C19" s="63" t="s">
        <v>418</v>
      </c>
      <c r="D19" s="55" t="n">
        <v>9</v>
      </c>
      <c r="E19" s="55" t="n">
        <v>2</v>
      </c>
      <c r="F19" s="64"/>
      <c r="G19" s="63" t="s">
        <v>419</v>
      </c>
      <c r="H19" s="55" t="n">
        <v>3</v>
      </c>
    </row>
    <row r="20" customFormat="false" ht="15" hidden="false" customHeight="false" outlineLevel="0" collapsed="false">
      <c r="A20" s="55" t="n">
        <v>3</v>
      </c>
      <c r="B20" s="64"/>
      <c r="C20" s="63" t="s">
        <v>420</v>
      </c>
      <c r="D20" s="55" t="n">
        <v>5</v>
      </c>
      <c r="E20" s="55" t="n">
        <v>3</v>
      </c>
      <c r="F20" s="64"/>
      <c r="G20" s="63" t="s">
        <v>421</v>
      </c>
      <c r="H20" s="55" t="n">
        <v>2</v>
      </c>
    </row>
    <row r="21" customFormat="false" ht="15" hidden="false" customHeight="false" outlineLevel="0" collapsed="false">
      <c r="A21" s="55" t="n">
        <v>4</v>
      </c>
      <c r="B21" s="64"/>
      <c r="C21" s="63" t="s">
        <v>304</v>
      </c>
      <c r="D21" s="55" t="n">
        <v>5</v>
      </c>
      <c r="E21" s="55" t="n">
        <v>4</v>
      </c>
      <c r="F21" s="64"/>
      <c r="G21" s="63" t="s">
        <v>422</v>
      </c>
      <c r="H21" s="55" t="n">
        <v>2</v>
      </c>
    </row>
    <row r="22" customFormat="false" ht="15" hidden="false" customHeight="false" outlineLevel="0" collapsed="false">
      <c r="A22" s="55" t="n">
        <v>5</v>
      </c>
      <c r="B22" s="64"/>
      <c r="C22" s="63" t="s">
        <v>302</v>
      </c>
      <c r="D22" s="55" t="n">
        <v>4</v>
      </c>
      <c r="E22" s="55" t="n">
        <v>5</v>
      </c>
      <c r="F22" s="64"/>
      <c r="G22" s="63" t="s">
        <v>423</v>
      </c>
      <c r="H22" s="55" t="n">
        <v>2</v>
      </c>
    </row>
    <row r="23" customFormat="false" ht="15" hidden="false" customHeight="false" outlineLevel="0" collapsed="false">
      <c r="A23" s="51" t="n">
        <v>1</v>
      </c>
      <c r="B23" s="61" t="s">
        <v>308</v>
      </c>
      <c r="C23" s="61" t="s">
        <v>309</v>
      </c>
      <c r="D23" s="51" t="n">
        <v>18</v>
      </c>
      <c r="E23" s="51" t="n">
        <v>1</v>
      </c>
      <c r="F23" s="61" t="s">
        <v>310</v>
      </c>
      <c r="G23" s="61" t="s">
        <v>424</v>
      </c>
      <c r="H23" s="51" t="n">
        <v>4</v>
      </c>
    </row>
    <row r="24" customFormat="false" ht="15" hidden="false" customHeight="false" outlineLevel="0" collapsed="false">
      <c r="A24" s="51" t="n">
        <v>2</v>
      </c>
      <c r="B24" s="62"/>
      <c r="C24" s="61" t="s">
        <v>425</v>
      </c>
      <c r="D24" s="51" t="n">
        <v>8</v>
      </c>
      <c r="E24" s="51" t="n">
        <v>2</v>
      </c>
      <c r="F24" s="62"/>
      <c r="G24" s="61" t="s">
        <v>426</v>
      </c>
      <c r="H24" s="51" t="n">
        <v>2</v>
      </c>
    </row>
    <row r="25" customFormat="false" ht="15" hidden="false" customHeight="false" outlineLevel="0" collapsed="false">
      <c r="A25" s="51" t="n">
        <v>3</v>
      </c>
      <c r="B25" s="62"/>
      <c r="C25" s="61" t="s">
        <v>427</v>
      </c>
      <c r="D25" s="51" t="n">
        <v>7</v>
      </c>
      <c r="E25" s="51" t="n">
        <v>3</v>
      </c>
      <c r="F25" s="62"/>
      <c r="G25" s="61" t="s">
        <v>318</v>
      </c>
      <c r="H25" s="51" t="n">
        <v>1</v>
      </c>
    </row>
    <row r="26" customFormat="false" ht="15" hidden="false" customHeight="false" outlineLevel="0" collapsed="false">
      <c r="A26" s="51" t="n">
        <v>4</v>
      </c>
      <c r="B26" s="62"/>
      <c r="C26" s="61" t="s">
        <v>312</v>
      </c>
      <c r="D26" s="51" t="n">
        <v>6</v>
      </c>
      <c r="E26" s="51" t="n">
        <v>4</v>
      </c>
      <c r="F26" s="62"/>
      <c r="G26" s="61" t="s">
        <v>428</v>
      </c>
      <c r="H26" s="51" t="n">
        <v>1</v>
      </c>
    </row>
    <row r="27" customFormat="false" ht="15" hidden="false" customHeight="false" outlineLevel="0" collapsed="false">
      <c r="A27" s="51" t="n">
        <v>5</v>
      </c>
      <c r="B27" s="62"/>
      <c r="C27" s="61" t="s">
        <v>429</v>
      </c>
      <c r="D27" s="51" t="n">
        <v>6</v>
      </c>
      <c r="E27" s="51" t="n">
        <v>5</v>
      </c>
      <c r="F27" s="62"/>
      <c r="G27" s="61" t="s">
        <v>430</v>
      </c>
      <c r="H27" s="51" t="n">
        <v>1</v>
      </c>
    </row>
    <row r="29" customFormat="false" ht="15" hidden="false" customHeight="false" outlineLevel="0" collapsed="false">
      <c r="A29" s="49" t="s">
        <v>319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21" min="3" style="0" width="10"/>
    <col collapsed="false" customWidth="true" hidden="false" outlineLevel="0" max="22" min="22" style="0" width="16"/>
  </cols>
  <sheetData>
    <row r="1" customFormat="false" ht="16.15" hidden="false" customHeight="false" outlineLevel="0" collapsed="false">
      <c r="A1" s="48" t="s">
        <v>431</v>
      </c>
    </row>
    <row r="2" customFormat="false" ht="15" hidden="false" customHeight="false" outlineLevel="0" collapsed="false">
      <c r="A2" s="49" t="s">
        <v>432</v>
      </c>
    </row>
    <row r="3" customFormat="false" ht="15" hidden="false" customHeight="true" outlineLevel="0" collapsed="false">
      <c r="A3" s="66" t="s">
        <v>234</v>
      </c>
      <c r="B3" s="66" t="s">
        <v>15</v>
      </c>
      <c r="C3" s="35" t="s">
        <v>433</v>
      </c>
      <c r="D3" s="35"/>
      <c r="E3" s="35"/>
      <c r="F3" s="35"/>
      <c r="G3" s="35"/>
      <c r="H3" s="35"/>
      <c r="I3" s="35"/>
      <c r="J3" s="35"/>
      <c r="K3" s="66" t="s">
        <v>6</v>
      </c>
      <c r="L3" s="35" t="s">
        <v>434</v>
      </c>
      <c r="M3" s="35"/>
      <c r="N3" s="35"/>
      <c r="O3" s="35"/>
      <c r="P3" s="35"/>
      <c r="Q3" s="35" t="s">
        <v>435</v>
      </c>
      <c r="R3" s="35"/>
      <c r="S3" s="35"/>
      <c r="T3" s="35"/>
      <c r="U3" s="35"/>
      <c r="V3" s="66" t="s">
        <v>436</v>
      </c>
    </row>
    <row r="4" customFormat="false" ht="42" hidden="false" customHeight="true" outlineLevel="0" collapsed="false">
      <c r="A4" s="66"/>
      <c r="B4" s="66"/>
      <c r="C4" s="50" t="s">
        <v>376</v>
      </c>
      <c r="D4" s="50" t="s">
        <v>236</v>
      </c>
      <c r="E4" s="50" t="s">
        <v>11</v>
      </c>
      <c r="F4" s="50" t="s">
        <v>239</v>
      </c>
      <c r="G4" s="50" t="s">
        <v>240</v>
      </c>
      <c r="H4" s="50" t="s">
        <v>241</v>
      </c>
      <c r="I4" s="50" t="s">
        <v>240</v>
      </c>
      <c r="J4" s="50" t="s">
        <v>242</v>
      </c>
      <c r="K4" s="66"/>
      <c r="L4" s="50" t="s">
        <v>239</v>
      </c>
      <c r="M4" s="50" t="s">
        <v>240</v>
      </c>
      <c r="N4" s="50" t="s">
        <v>241</v>
      </c>
      <c r="O4" s="50" t="s">
        <v>240</v>
      </c>
      <c r="P4" s="50" t="s">
        <v>242</v>
      </c>
      <c r="Q4" s="50" t="s">
        <v>239</v>
      </c>
      <c r="R4" s="50" t="s">
        <v>240</v>
      </c>
      <c r="S4" s="50" t="s">
        <v>241</v>
      </c>
      <c r="T4" s="50" t="s">
        <v>240</v>
      </c>
      <c r="U4" s="50" t="s">
        <v>242</v>
      </c>
      <c r="V4" s="66"/>
    </row>
    <row r="5" customFormat="false" ht="15" hidden="false" customHeight="false" outlineLevel="0" collapsed="false">
      <c r="A5" s="51" t="n">
        <v>1</v>
      </c>
      <c r="B5" s="61" t="s">
        <v>248</v>
      </c>
      <c r="C5" s="67" t="n">
        <f aca="false">SUMIF('ISD RURAL'!$C:$C,$B5,'ISD RURAL'!$D:$D)</f>
        <v>454</v>
      </c>
      <c r="D5" s="67" t="n">
        <f aca="false">SUMIF('ISD RURAL'!$C:$C,$B5,'ISD RURAL'!$E:$E)</f>
        <v>515</v>
      </c>
      <c r="E5" s="67" t="n">
        <f aca="false">SUMIF('ISD RURAL'!$C:$C,$B5,'ISD RURAL'!$F:$F)</f>
        <v>969</v>
      </c>
      <c r="F5" s="67" t="n">
        <f aca="false">SUMIF('ISD RURAL'!$C:$C,$B5,'ISD RURAL'!$G:$G)</f>
        <v>493</v>
      </c>
      <c r="G5" s="54" t="n">
        <f aca="false">IFERROR(F5/J5,0)</f>
        <v>0.810855263157895</v>
      </c>
      <c r="H5" s="67" t="n">
        <f aca="false">SUMIF('ISD RURAL'!$C:$C,$B5,'ISD RURAL'!$I:$I)</f>
        <v>115</v>
      </c>
      <c r="I5" s="54" t="n">
        <f aca="false">IFERROR(H5/J5,0)</f>
        <v>0.189144736842105</v>
      </c>
      <c r="J5" s="67" t="n">
        <f aca="false">SUMIF('ISD RURAL'!$C:$C,$B5,'ISD RURAL'!$K:$K)</f>
        <v>608</v>
      </c>
      <c r="K5" s="67" t="n">
        <f aca="false">SUMIF('ISD RURAL'!$C:$C,$B5,'ISD RURAL'!$L:$L)</f>
        <v>361</v>
      </c>
      <c r="L5" s="53" t="n">
        <v>457</v>
      </c>
      <c r="M5" s="54" t="n">
        <f aca="false">IFERROR(L5/$J5,0)</f>
        <v>0.751644736842105</v>
      </c>
      <c r="N5" s="53" t="n">
        <v>99</v>
      </c>
      <c r="O5" s="54" t="n">
        <f aca="false">IFERROR(N5/$J5,0)</f>
        <v>0.162828947368421</v>
      </c>
      <c r="P5" s="21" t="n">
        <f aca="false">L5+N5</f>
        <v>556</v>
      </c>
      <c r="Q5" s="53" t="n">
        <v>36</v>
      </c>
      <c r="R5" s="54" t="n">
        <f aca="false">IFERROR(Q5/$J5,0)</f>
        <v>0.0592105263157895</v>
      </c>
      <c r="S5" s="53" t="n">
        <v>16</v>
      </c>
      <c r="T5" s="54" t="n">
        <f aca="false">IFERROR(S5/$J5,0)</f>
        <v>0.0263157894736842</v>
      </c>
      <c r="U5" s="21" t="n">
        <f aca="false">Q5+S5</f>
        <v>52</v>
      </c>
      <c r="V5" s="21" t="n">
        <f aca="false">ABS(L5+Q5-F5)+ABS(N5+S5-H5)</f>
        <v>0</v>
      </c>
    </row>
    <row r="6" customFormat="false" ht="15" hidden="false" customHeight="false" outlineLevel="0" collapsed="false">
      <c r="A6" s="55" t="n">
        <v>2</v>
      </c>
      <c r="B6" s="63" t="s">
        <v>251</v>
      </c>
      <c r="C6" s="68" t="n">
        <f aca="false">SUMIF('ISD RURAL'!$C:$C,$B6,'ISD RURAL'!$D:$D)</f>
        <v>515</v>
      </c>
      <c r="D6" s="68" t="n">
        <f aca="false">SUMIF('ISD RURAL'!$C:$C,$B6,'ISD RURAL'!$E:$E)</f>
        <v>515</v>
      </c>
      <c r="E6" s="68" t="n">
        <f aca="false">SUMIF('ISD RURAL'!$C:$C,$B6,'ISD RURAL'!$F:$F)</f>
        <v>1030</v>
      </c>
      <c r="F6" s="68" t="n">
        <f aca="false">SUMIF('ISD RURAL'!$C:$C,$B6,'ISD RURAL'!$G:$G)</f>
        <v>430</v>
      </c>
      <c r="G6" s="58" t="n">
        <f aca="false">IFERROR(F6/J6,0)</f>
        <v>0.814393939393939</v>
      </c>
      <c r="H6" s="68" t="n">
        <f aca="false">SUMIF('ISD RURAL'!$C:$C,$B6,'ISD RURAL'!$I:$I)</f>
        <v>98</v>
      </c>
      <c r="I6" s="58" t="n">
        <f aca="false">IFERROR(H6/J6,0)</f>
        <v>0.185606060606061</v>
      </c>
      <c r="J6" s="68" t="n">
        <f aca="false">SUMIF('ISD RURAL'!$C:$C,$B6,'ISD RURAL'!$K:$K)</f>
        <v>528</v>
      </c>
      <c r="K6" s="68" t="n">
        <f aca="false">SUMIF('ISD RURAL'!$C:$C,$B6,'ISD RURAL'!$L:$L)</f>
        <v>502</v>
      </c>
      <c r="L6" s="57" t="n">
        <v>404</v>
      </c>
      <c r="M6" s="58" t="n">
        <f aca="false">IFERROR(L6/$J6,0)</f>
        <v>0.765151515151515</v>
      </c>
      <c r="N6" s="57" t="n">
        <v>90</v>
      </c>
      <c r="O6" s="58" t="n">
        <f aca="false">IFERROR(N6/$J6,0)</f>
        <v>0.170454545454545</v>
      </c>
      <c r="P6" s="26" t="n">
        <f aca="false">L6+N6</f>
        <v>494</v>
      </c>
      <c r="Q6" s="57" t="n">
        <v>26</v>
      </c>
      <c r="R6" s="58" t="n">
        <f aca="false">IFERROR(Q6/$J6,0)</f>
        <v>0.0492424242424242</v>
      </c>
      <c r="S6" s="57" t="n">
        <v>8</v>
      </c>
      <c r="T6" s="58" t="n">
        <f aca="false">IFERROR(S6/$J6,0)</f>
        <v>0.0151515151515152</v>
      </c>
      <c r="U6" s="26" t="n">
        <f aca="false">Q6+S6</f>
        <v>34</v>
      </c>
      <c r="V6" s="26" t="n">
        <f aca="false">ABS(L6+Q6-F6)+ABS(N6+S6-H6)</f>
        <v>0</v>
      </c>
    </row>
    <row r="7" customFormat="false" ht="15" hidden="false" customHeight="false" outlineLevel="0" collapsed="false">
      <c r="A7" s="51" t="n">
        <v>3</v>
      </c>
      <c r="B7" s="61" t="s">
        <v>250</v>
      </c>
      <c r="C7" s="67" t="n">
        <f aca="false">SUMIF('ISD RURAL'!$C:$C,$B7,'ISD RURAL'!$D:$D)</f>
        <v>352</v>
      </c>
      <c r="D7" s="67" t="n">
        <f aca="false">SUMIF('ISD RURAL'!$C:$C,$B7,'ISD RURAL'!$E:$E)</f>
        <v>560</v>
      </c>
      <c r="E7" s="67" t="n">
        <f aca="false">SUMIF('ISD RURAL'!$C:$C,$B7,'ISD RURAL'!$F:$F)</f>
        <v>912</v>
      </c>
      <c r="F7" s="67" t="n">
        <f aca="false">SUMIF('ISD RURAL'!$C:$C,$B7,'ISD RURAL'!$G:$G)</f>
        <v>400</v>
      </c>
      <c r="G7" s="54" t="n">
        <f aca="false">IFERROR(F7/J7,0)</f>
        <v>0.798403193612775</v>
      </c>
      <c r="H7" s="67" t="n">
        <f aca="false">SUMIF('ISD RURAL'!$C:$C,$B7,'ISD RURAL'!$I:$I)</f>
        <v>101</v>
      </c>
      <c r="I7" s="54" t="n">
        <f aca="false">IFERROR(H7/J7,0)</f>
        <v>0.201596806387226</v>
      </c>
      <c r="J7" s="67" t="n">
        <f aca="false">SUMIF('ISD RURAL'!$C:$C,$B7,'ISD RURAL'!$K:$K)</f>
        <v>501</v>
      </c>
      <c r="K7" s="67" t="n">
        <f aca="false">SUMIF('ISD RURAL'!$C:$C,$B7,'ISD RURAL'!$L:$L)</f>
        <v>411</v>
      </c>
      <c r="L7" s="53" t="n">
        <v>368</v>
      </c>
      <c r="M7" s="54" t="n">
        <f aca="false">IFERROR(L7/$J7,0)</f>
        <v>0.734530938123753</v>
      </c>
      <c r="N7" s="53" t="n">
        <v>85</v>
      </c>
      <c r="O7" s="54" t="n">
        <f aca="false">IFERROR(N7/$J7,0)</f>
        <v>0.169660678642715</v>
      </c>
      <c r="P7" s="21" t="n">
        <f aca="false">L7+N7</f>
        <v>453</v>
      </c>
      <c r="Q7" s="53" t="n">
        <v>32</v>
      </c>
      <c r="R7" s="54" t="n">
        <f aca="false">IFERROR(Q7/$J7,0)</f>
        <v>0.063872255489022</v>
      </c>
      <c r="S7" s="53" t="n">
        <v>16</v>
      </c>
      <c r="T7" s="54" t="n">
        <f aca="false">IFERROR(S7/$J7,0)</f>
        <v>0.031936127744511</v>
      </c>
      <c r="U7" s="21" t="n">
        <f aca="false">Q7+S7</f>
        <v>48</v>
      </c>
      <c r="V7" s="21" t="n">
        <f aca="false">ABS(L7+Q7-F7)+ABS(N7+S7-H7)</f>
        <v>0</v>
      </c>
    </row>
    <row r="8" customFormat="false" ht="15" hidden="false" customHeight="false" outlineLevel="0" collapsed="false">
      <c r="A8" s="55" t="n">
        <v>4</v>
      </c>
      <c r="B8" s="63" t="s">
        <v>247</v>
      </c>
      <c r="C8" s="68" t="n">
        <f aca="false">SUMIF('ISD RURAL'!$C:$C,$B8,'ISD RURAL'!$D:$D)</f>
        <v>353</v>
      </c>
      <c r="D8" s="68" t="n">
        <f aca="false">SUMIF('ISD RURAL'!$C:$C,$B8,'ISD RURAL'!$E:$E)</f>
        <v>495</v>
      </c>
      <c r="E8" s="68" t="n">
        <f aca="false">SUMIF('ISD RURAL'!$C:$C,$B8,'ISD RURAL'!$F:$F)</f>
        <v>848</v>
      </c>
      <c r="F8" s="68" t="n">
        <f aca="false">SUMIF('ISD RURAL'!$C:$C,$B8,'ISD RURAL'!$G:$G)</f>
        <v>391</v>
      </c>
      <c r="G8" s="58" t="n">
        <f aca="false">IFERROR(F8/J8,0)</f>
        <v>0.831914893617021</v>
      </c>
      <c r="H8" s="68" t="n">
        <f aca="false">SUMIF('ISD RURAL'!$C:$C,$B8,'ISD RURAL'!$I:$I)</f>
        <v>79</v>
      </c>
      <c r="I8" s="58" t="n">
        <f aca="false">IFERROR(H8/J8,0)</f>
        <v>0.168085106382979</v>
      </c>
      <c r="J8" s="68" t="n">
        <f aca="false">SUMIF('ISD RURAL'!$C:$C,$B8,'ISD RURAL'!$K:$K)</f>
        <v>470</v>
      </c>
      <c r="K8" s="68" t="n">
        <f aca="false">SUMIF('ISD RURAL'!$C:$C,$B8,'ISD RURAL'!$L:$L)</f>
        <v>378</v>
      </c>
      <c r="L8" s="57" t="n">
        <v>293</v>
      </c>
      <c r="M8" s="58" t="n">
        <f aca="false">IFERROR(L8/$J8,0)</f>
        <v>0.623404255319149</v>
      </c>
      <c r="N8" s="57" t="n">
        <v>57</v>
      </c>
      <c r="O8" s="58" t="n">
        <f aca="false">IFERROR(N8/$J8,0)</f>
        <v>0.121276595744681</v>
      </c>
      <c r="P8" s="26" t="n">
        <f aca="false">L8+N8</f>
        <v>350</v>
      </c>
      <c r="Q8" s="57" t="n">
        <v>98</v>
      </c>
      <c r="R8" s="58" t="n">
        <f aca="false">IFERROR(Q8/$J8,0)</f>
        <v>0.208510638297872</v>
      </c>
      <c r="S8" s="57" t="n">
        <v>22</v>
      </c>
      <c r="T8" s="58" t="n">
        <f aca="false">IFERROR(S8/$J8,0)</f>
        <v>0.0468085106382979</v>
      </c>
      <c r="U8" s="26" t="n">
        <f aca="false">Q8+S8</f>
        <v>120</v>
      </c>
      <c r="V8" s="26" t="n">
        <f aca="false">ABS(L8+Q8-F8)+ABS(N8+S8-H8)</f>
        <v>0</v>
      </c>
    </row>
    <row r="9" customFormat="false" ht="15" hidden="false" customHeight="false" outlineLevel="0" collapsed="false">
      <c r="A9" s="51" t="n">
        <v>5</v>
      </c>
      <c r="B9" s="61" t="s">
        <v>246</v>
      </c>
      <c r="C9" s="67" t="n">
        <f aca="false">SUMIF('ISD RURAL'!$C:$C,$B9,'ISD RURAL'!$D:$D)</f>
        <v>295</v>
      </c>
      <c r="D9" s="67" t="n">
        <f aca="false">SUMIF('ISD RURAL'!$C:$C,$B9,'ISD RURAL'!$E:$E)</f>
        <v>323</v>
      </c>
      <c r="E9" s="67" t="n">
        <f aca="false">SUMIF('ISD RURAL'!$C:$C,$B9,'ISD RURAL'!$F:$F)</f>
        <v>618</v>
      </c>
      <c r="F9" s="67" t="n">
        <f aca="false">SUMIF('ISD RURAL'!$C:$C,$B9,'ISD RURAL'!$G:$G)</f>
        <v>266</v>
      </c>
      <c r="G9" s="54" t="n">
        <f aca="false">IFERROR(F9/J9,0)</f>
        <v>0.823529411764706</v>
      </c>
      <c r="H9" s="67" t="n">
        <f aca="false">SUMIF('ISD RURAL'!$C:$C,$B9,'ISD RURAL'!$I:$I)</f>
        <v>57</v>
      </c>
      <c r="I9" s="54" t="n">
        <f aca="false">IFERROR(H9/J9,0)</f>
        <v>0.176470588235294</v>
      </c>
      <c r="J9" s="67" t="n">
        <f aca="false">SUMIF('ISD RURAL'!$C:$C,$B9,'ISD RURAL'!$K:$K)</f>
        <v>323</v>
      </c>
      <c r="K9" s="67" t="n">
        <f aca="false">SUMIF('ISD RURAL'!$C:$C,$B9,'ISD RURAL'!$L:$L)</f>
        <v>295</v>
      </c>
      <c r="L9" s="53" t="n">
        <v>209</v>
      </c>
      <c r="M9" s="54" t="n">
        <f aca="false">IFERROR(L9/$J9,0)</f>
        <v>0.647058823529412</v>
      </c>
      <c r="N9" s="53" t="n">
        <v>35</v>
      </c>
      <c r="O9" s="54" t="n">
        <f aca="false">IFERROR(N9/$J9,0)</f>
        <v>0.108359133126935</v>
      </c>
      <c r="P9" s="21" t="n">
        <f aca="false">L9+N9</f>
        <v>244</v>
      </c>
      <c r="Q9" s="53" t="n">
        <v>57</v>
      </c>
      <c r="R9" s="54" t="n">
        <f aca="false">IFERROR(Q9/$J9,0)</f>
        <v>0.176470588235294</v>
      </c>
      <c r="S9" s="53" t="n">
        <v>22</v>
      </c>
      <c r="T9" s="54" t="n">
        <f aca="false">IFERROR(S9/$J9,0)</f>
        <v>0.0681114551083591</v>
      </c>
      <c r="U9" s="21" t="n">
        <f aca="false">Q9+S9</f>
        <v>79</v>
      </c>
      <c r="V9" s="21" t="n">
        <f aca="false">ABS(L9+Q9-F9)+ABS(N9+S9-H9)</f>
        <v>0</v>
      </c>
    </row>
    <row r="10" customFormat="false" ht="15" hidden="false" customHeight="false" outlineLevel="0" collapsed="false">
      <c r="A10" s="55" t="n">
        <v>6</v>
      </c>
      <c r="B10" s="63" t="s">
        <v>252</v>
      </c>
      <c r="C10" s="68" t="n">
        <f aca="false">SUMIF('ISD RURAL'!$C:$C,$B10,'ISD RURAL'!$D:$D)</f>
        <v>114</v>
      </c>
      <c r="D10" s="68" t="n">
        <f aca="false">SUMIF('ISD RURAL'!$C:$C,$B10,'ISD RURAL'!$E:$E)</f>
        <v>141</v>
      </c>
      <c r="E10" s="68" t="n">
        <f aca="false">SUMIF('ISD RURAL'!$C:$C,$B10,'ISD RURAL'!$F:$F)</f>
        <v>255</v>
      </c>
      <c r="F10" s="68" t="n">
        <f aca="false">SUMIF('ISD RURAL'!$C:$C,$B10,'ISD RURAL'!$G:$G)</f>
        <v>126</v>
      </c>
      <c r="G10" s="58" t="n">
        <f aca="false">IFERROR(F10/J10,0)</f>
        <v>0.91970802919708</v>
      </c>
      <c r="H10" s="68" t="n">
        <f aca="false">SUMIF('ISD RURAL'!$C:$C,$B10,'ISD RURAL'!$I:$I)</f>
        <v>11</v>
      </c>
      <c r="I10" s="58" t="n">
        <f aca="false">IFERROR(H10/J10,0)</f>
        <v>0.0802919708029197</v>
      </c>
      <c r="J10" s="68" t="n">
        <f aca="false">SUMIF('ISD RURAL'!$C:$C,$B10,'ISD RURAL'!$K:$K)</f>
        <v>137</v>
      </c>
      <c r="K10" s="68" t="n">
        <f aca="false">SUMIF('ISD RURAL'!$C:$C,$B10,'ISD RURAL'!$L:$L)</f>
        <v>118</v>
      </c>
      <c r="L10" s="57" t="n">
        <v>90</v>
      </c>
      <c r="M10" s="58" t="n">
        <f aca="false">IFERROR(L10/$J10,0)</f>
        <v>0.656934306569343</v>
      </c>
      <c r="N10" s="57" t="n">
        <v>6</v>
      </c>
      <c r="O10" s="58" t="n">
        <f aca="false">IFERROR(N10/$J10,0)</f>
        <v>0.0437956204379562</v>
      </c>
      <c r="P10" s="26" t="n">
        <f aca="false">L10+N10</f>
        <v>96</v>
      </c>
      <c r="Q10" s="57" t="n">
        <v>36</v>
      </c>
      <c r="R10" s="58" t="n">
        <f aca="false">IFERROR(Q10/$J10,0)</f>
        <v>0.262773722627737</v>
      </c>
      <c r="S10" s="57" t="n">
        <v>5</v>
      </c>
      <c r="T10" s="58" t="n">
        <f aca="false">IFERROR(S10/$J10,0)</f>
        <v>0.0364963503649635</v>
      </c>
      <c r="U10" s="26" t="n">
        <f aca="false">Q10+S10</f>
        <v>41</v>
      </c>
      <c r="V10" s="26" t="n">
        <f aca="false">ABS(L10+Q10-F10)+ABS(N10+S10-H10)</f>
        <v>0</v>
      </c>
    </row>
    <row r="11" customFormat="false" ht="15" hidden="false" customHeight="false" outlineLevel="0" collapsed="false">
      <c r="A11" s="51" t="n">
        <v>7</v>
      </c>
      <c r="B11" s="61" t="s">
        <v>249</v>
      </c>
      <c r="C11" s="67" t="n">
        <f aca="false">SUMIF('ISD RURAL'!$C:$C,$B11,'ISD RURAL'!$D:$D)</f>
        <v>300</v>
      </c>
      <c r="D11" s="67" t="n">
        <f aca="false">SUMIF('ISD RURAL'!$C:$C,$B11,'ISD RURAL'!$E:$E)</f>
        <v>388</v>
      </c>
      <c r="E11" s="67" t="n">
        <f aca="false">SUMIF('ISD RURAL'!$C:$C,$B11,'ISD RURAL'!$F:$F)</f>
        <v>688</v>
      </c>
      <c r="F11" s="67" t="n">
        <f aca="false">SUMIF('ISD RURAL'!$C:$C,$B11,'ISD RURAL'!$G:$G)</f>
        <v>314</v>
      </c>
      <c r="G11" s="54" t="n">
        <f aca="false">IFERROR(F11/J11,0)</f>
        <v>0.907514450867052</v>
      </c>
      <c r="H11" s="67" t="n">
        <f aca="false">SUMIF('ISD RURAL'!$C:$C,$B11,'ISD RURAL'!$I:$I)</f>
        <v>32</v>
      </c>
      <c r="I11" s="54" t="n">
        <f aca="false">IFERROR(H11/J11,0)</f>
        <v>0.092485549132948</v>
      </c>
      <c r="J11" s="67" t="n">
        <f aca="false">SUMIF('ISD RURAL'!$C:$C,$B11,'ISD RURAL'!$K:$K)</f>
        <v>346</v>
      </c>
      <c r="K11" s="67" t="n">
        <f aca="false">SUMIF('ISD RURAL'!$C:$C,$B11,'ISD RURAL'!$L:$L)</f>
        <v>342</v>
      </c>
      <c r="L11" s="53" t="n">
        <v>218</v>
      </c>
      <c r="M11" s="54" t="n">
        <f aca="false">IFERROR(L11/$J11,0)</f>
        <v>0.630057803468208</v>
      </c>
      <c r="N11" s="53" t="n">
        <v>24</v>
      </c>
      <c r="O11" s="54" t="n">
        <f aca="false">IFERROR(N11/$J11,0)</f>
        <v>0.069364161849711</v>
      </c>
      <c r="P11" s="21" t="n">
        <f aca="false">L11+N11</f>
        <v>242</v>
      </c>
      <c r="Q11" s="53" t="n">
        <v>96</v>
      </c>
      <c r="R11" s="54" t="n">
        <f aca="false">IFERROR(Q11/$J11,0)</f>
        <v>0.277456647398844</v>
      </c>
      <c r="S11" s="53" t="n">
        <v>8</v>
      </c>
      <c r="T11" s="54" t="n">
        <f aca="false">IFERROR(S11/$J11,0)</f>
        <v>0.023121387283237</v>
      </c>
      <c r="U11" s="21" t="n">
        <f aca="false">Q11+S11</f>
        <v>104</v>
      </c>
      <c r="V11" s="21" t="n">
        <f aca="false">ABS(L11+Q11-F11)+ABS(N11+S11-H11)</f>
        <v>0</v>
      </c>
    </row>
    <row r="12" customFormat="false" ht="15" hidden="false" customHeight="false" outlineLevel="0" collapsed="false">
      <c r="A12" s="55" t="n">
        <v>8</v>
      </c>
      <c r="B12" s="63" t="s">
        <v>255</v>
      </c>
      <c r="C12" s="68" t="n">
        <f aca="false">SUMIF('ISD RURAL'!$C:$C,$B12,'ISD RURAL'!$D:$D)</f>
        <v>412</v>
      </c>
      <c r="D12" s="68" t="n">
        <f aca="false">SUMIF('ISD RURAL'!$C:$C,$B12,'ISD RURAL'!$E:$E)</f>
        <v>457</v>
      </c>
      <c r="E12" s="68" t="n">
        <f aca="false">SUMIF('ISD RURAL'!$C:$C,$B12,'ISD RURAL'!$F:$F)</f>
        <v>869</v>
      </c>
      <c r="F12" s="68" t="n">
        <f aca="false">SUMIF('ISD RURAL'!$C:$C,$B12,'ISD RURAL'!$G:$G)</f>
        <v>364</v>
      </c>
      <c r="G12" s="58" t="n">
        <f aca="false">IFERROR(F12/J12,0)</f>
        <v>0.816143497757848</v>
      </c>
      <c r="H12" s="68" t="n">
        <f aca="false">SUMIF('ISD RURAL'!$C:$C,$B12,'ISD RURAL'!$I:$I)</f>
        <v>82</v>
      </c>
      <c r="I12" s="58" t="n">
        <f aca="false">IFERROR(H12/J12,0)</f>
        <v>0.183856502242152</v>
      </c>
      <c r="J12" s="68" t="n">
        <f aca="false">SUMIF('ISD RURAL'!$C:$C,$B12,'ISD RURAL'!$K:$K)</f>
        <v>446</v>
      </c>
      <c r="K12" s="68" t="n">
        <f aca="false">SUMIF('ISD RURAL'!$C:$C,$B12,'ISD RURAL'!$L:$L)</f>
        <v>423</v>
      </c>
      <c r="L12" s="57" t="n">
        <v>293</v>
      </c>
      <c r="M12" s="58" t="n">
        <f aca="false">IFERROR(L12/$J12,0)</f>
        <v>0.65695067264574</v>
      </c>
      <c r="N12" s="57" t="n">
        <v>60</v>
      </c>
      <c r="O12" s="58" t="n">
        <f aca="false">IFERROR(N12/$J12,0)</f>
        <v>0.134529147982063</v>
      </c>
      <c r="P12" s="26" t="n">
        <f aca="false">L12+N12</f>
        <v>353</v>
      </c>
      <c r="Q12" s="57" t="n">
        <v>71</v>
      </c>
      <c r="R12" s="58" t="n">
        <f aca="false">IFERROR(Q12/$J12,0)</f>
        <v>0.159192825112108</v>
      </c>
      <c r="S12" s="57" t="n">
        <v>22</v>
      </c>
      <c r="T12" s="58" t="n">
        <f aca="false">IFERROR(S12/$J12,0)</f>
        <v>0.0493273542600897</v>
      </c>
      <c r="U12" s="26" t="n">
        <f aca="false">Q12+S12</f>
        <v>93</v>
      </c>
      <c r="V12" s="26" t="n">
        <f aca="false">ABS(L12+Q12-F12)+ABS(N12+S12-H12)</f>
        <v>0</v>
      </c>
    </row>
    <row r="13" customFormat="false" ht="15" hidden="false" customHeight="false" outlineLevel="0" collapsed="false">
      <c r="A13" s="51" t="n">
        <v>9</v>
      </c>
      <c r="B13" s="61" t="s">
        <v>253</v>
      </c>
      <c r="C13" s="67" t="n">
        <f aca="false">SUMIF('ISD RURAL'!$C:$C,$B13,'ISD RURAL'!$D:$D)</f>
        <v>277</v>
      </c>
      <c r="D13" s="67" t="n">
        <f aca="false">SUMIF('ISD RURAL'!$C:$C,$B13,'ISD RURAL'!$E:$E)</f>
        <v>250</v>
      </c>
      <c r="E13" s="67" t="n">
        <f aca="false">SUMIF('ISD RURAL'!$C:$C,$B13,'ISD RURAL'!$F:$F)</f>
        <v>527</v>
      </c>
      <c r="F13" s="67" t="n">
        <f aca="false">SUMIF('ISD RURAL'!$C:$C,$B13,'ISD RURAL'!$G:$G)</f>
        <v>215</v>
      </c>
      <c r="G13" s="54" t="n">
        <f aca="false">IFERROR(F13/J13,0)</f>
        <v>0.870445344129555</v>
      </c>
      <c r="H13" s="67" t="n">
        <f aca="false">SUMIF('ISD RURAL'!$C:$C,$B13,'ISD RURAL'!$I:$I)</f>
        <v>32</v>
      </c>
      <c r="I13" s="54" t="n">
        <f aca="false">IFERROR(H13/J13,0)</f>
        <v>0.129554655870445</v>
      </c>
      <c r="J13" s="67" t="n">
        <f aca="false">SUMIF('ISD RURAL'!$C:$C,$B13,'ISD RURAL'!$K:$K)</f>
        <v>247</v>
      </c>
      <c r="K13" s="67" t="n">
        <f aca="false">SUMIF('ISD RURAL'!$C:$C,$B13,'ISD RURAL'!$L:$L)</f>
        <v>280</v>
      </c>
      <c r="L13" s="53" t="n">
        <v>99</v>
      </c>
      <c r="M13" s="54" t="n">
        <f aca="false">IFERROR(L13/$J13,0)</f>
        <v>0.40080971659919</v>
      </c>
      <c r="N13" s="53" t="n">
        <v>22</v>
      </c>
      <c r="O13" s="54" t="n">
        <f aca="false">IFERROR(N13/$J13,0)</f>
        <v>0.0890688259109312</v>
      </c>
      <c r="P13" s="21" t="n">
        <f aca="false">L13+N13</f>
        <v>121</v>
      </c>
      <c r="Q13" s="53" t="n">
        <v>116</v>
      </c>
      <c r="R13" s="54" t="n">
        <f aca="false">IFERROR(Q13/$J13,0)</f>
        <v>0.469635627530364</v>
      </c>
      <c r="S13" s="53" t="n">
        <v>10</v>
      </c>
      <c r="T13" s="54" t="n">
        <f aca="false">IFERROR(S13/$J13,0)</f>
        <v>0.0404858299595142</v>
      </c>
      <c r="U13" s="21" t="n">
        <f aca="false">Q13+S13</f>
        <v>126</v>
      </c>
      <c r="V13" s="21" t="n">
        <f aca="false">ABS(L13+Q13-F13)+ABS(N13+S13-H13)</f>
        <v>0</v>
      </c>
    </row>
    <row r="14" customFormat="false" ht="15" hidden="false" customHeight="false" outlineLevel="0" collapsed="false">
      <c r="A14" s="55" t="n">
        <v>10</v>
      </c>
      <c r="B14" s="63" t="s">
        <v>254</v>
      </c>
      <c r="C14" s="68" t="n">
        <f aca="false">SUMIF('ISD RURAL'!$C:$C,$B14,'ISD RURAL'!$D:$D)</f>
        <v>343</v>
      </c>
      <c r="D14" s="68" t="n">
        <f aca="false">SUMIF('ISD RURAL'!$C:$C,$B14,'ISD RURAL'!$E:$E)</f>
        <v>326</v>
      </c>
      <c r="E14" s="68" t="n">
        <f aca="false">SUMIF('ISD RURAL'!$C:$C,$B14,'ISD RURAL'!$F:$F)</f>
        <v>669</v>
      </c>
      <c r="F14" s="68" t="n">
        <f aca="false">SUMIF('ISD RURAL'!$C:$C,$B14,'ISD RURAL'!$G:$G)</f>
        <v>292</v>
      </c>
      <c r="G14" s="58" t="n">
        <f aca="false">IFERROR(F14/J14,0)</f>
        <v>0.856304985337243</v>
      </c>
      <c r="H14" s="68" t="n">
        <f aca="false">SUMIF('ISD RURAL'!$C:$C,$B14,'ISD RURAL'!$I:$I)</f>
        <v>49</v>
      </c>
      <c r="I14" s="58" t="n">
        <f aca="false">IFERROR(H14/J14,0)</f>
        <v>0.143695014662757</v>
      </c>
      <c r="J14" s="68" t="n">
        <f aca="false">SUMIF('ISD RURAL'!$C:$C,$B14,'ISD RURAL'!$K:$K)</f>
        <v>341</v>
      </c>
      <c r="K14" s="68" t="n">
        <f aca="false">SUMIF('ISD RURAL'!$C:$C,$B14,'ISD RURAL'!$L:$L)</f>
        <v>328</v>
      </c>
      <c r="L14" s="57" t="n">
        <v>246</v>
      </c>
      <c r="M14" s="58" t="n">
        <f aca="false">IFERROR(L14/$J14,0)</f>
        <v>0.721407624633431</v>
      </c>
      <c r="N14" s="57" t="n">
        <v>32</v>
      </c>
      <c r="O14" s="58" t="n">
        <f aca="false">IFERROR(N14/$J14,0)</f>
        <v>0.093841642228739</v>
      </c>
      <c r="P14" s="26" t="n">
        <f aca="false">L14+N14</f>
        <v>278</v>
      </c>
      <c r="Q14" s="57" t="n">
        <v>46</v>
      </c>
      <c r="R14" s="58" t="n">
        <f aca="false">IFERROR(Q14/$J14,0)</f>
        <v>0.134897360703812</v>
      </c>
      <c r="S14" s="57" t="n">
        <v>17</v>
      </c>
      <c r="T14" s="58" t="n">
        <f aca="false">IFERROR(S14/$J14,0)</f>
        <v>0.0498533724340176</v>
      </c>
      <c r="U14" s="26" t="n">
        <f aca="false">Q14+S14</f>
        <v>63</v>
      </c>
      <c r="V14" s="26" t="n">
        <f aca="false">ABS(L14+Q14-F14)+ABS(N14+S14-H14)</f>
        <v>0</v>
      </c>
    </row>
    <row r="15" customFormat="false" ht="15" hidden="false" customHeight="false" outlineLevel="0" collapsed="false">
      <c r="A15" s="59"/>
      <c r="B15" s="28" t="s">
        <v>11</v>
      </c>
      <c r="C15" s="30" t="n">
        <f aca="false">SUM(C5:INDEX(C:C,ROW()-1))</f>
        <v>3415</v>
      </c>
      <c r="D15" s="30" t="n">
        <f aca="false">SUM(D5:INDEX(D:D,ROW()-1))</f>
        <v>3970</v>
      </c>
      <c r="E15" s="30" t="n">
        <f aca="false">SUM(E5:INDEX(E:E,ROW()-1))</f>
        <v>7385</v>
      </c>
      <c r="F15" s="30" t="n">
        <f aca="false">SUM(F5:INDEX(F:F,ROW()-1))</f>
        <v>3291</v>
      </c>
      <c r="G15" s="60" t="n">
        <f aca="false">IFERROR(F15/$J15,0)</f>
        <v>0.833797821129972</v>
      </c>
      <c r="H15" s="30" t="n">
        <f aca="false">SUM(H5:INDEX(H:H,ROW()-1))</f>
        <v>656</v>
      </c>
      <c r="I15" s="60" t="n">
        <f aca="false">IFERROR(H15/$J15,0)</f>
        <v>0.166202178870028</v>
      </c>
      <c r="J15" s="30" t="n">
        <f aca="false">SUM(J5:INDEX(J:J,ROW()-1))</f>
        <v>3947</v>
      </c>
      <c r="K15" s="30" t="n">
        <f aca="false">SUM(K5:INDEX(K:K,ROW()-1))</f>
        <v>3438</v>
      </c>
      <c r="L15" s="30" t="n">
        <f aca="false">SUM(L5:INDEX(L:L,ROW()-1))</f>
        <v>2677</v>
      </c>
      <c r="M15" s="60" t="n">
        <f aca="false">IFERROR(L15/$J15,0)</f>
        <v>0.678236635419306</v>
      </c>
      <c r="N15" s="30" t="n">
        <f aca="false">SUM(N5:INDEX(N:N,ROW()-1))</f>
        <v>510</v>
      </c>
      <c r="O15" s="60" t="n">
        <f aca="false">IFERROR(N15/$J15,0)</f>
        <v>0.129212059792247</v>
      </c>
      <c r="P15" s="30" t="n">
        <f aca="false">SUM(P5:INDEX(P:P,ROW()-1))</f>
        <v>3187</v>
      </c>
      <c r="Q15" s="30" t="n">
        <f aca="false">SUM(Q5:INDEX(Q:Q,ROW()-1))</f>
        <v>614</v>
      </c>
      <c r="R15" s="60" t="n">
        <f aca="false">IFERROR(Q15/$J15,0)</f>
        <v>0.155561185710666</v>
      </c>
      <c r="S15" s="30" t="n">
        <f aca="false">SUM(S5:INDEX(S:S,ROW()-1))</f>
        <v>146</v>
      </c>
      <c r="T15" s="60" t="n">
        <f aca="false">IFERROR(S15/$J15,0)</f>
        <v>0.0369901190777806</v>
      </c>
      <c r="U15" s="30" t="n">
        <f aca="false">SUM(U5:INDEX(U:U,ROW()-1))</f>
        <v>760</v>
      </c>
      <c r="V15" s="30" t="n">
        <f aca="false">SUM(V5:INDEX(V:V,ROW()-1))</f>
        <v>0</v>
      </c>
    </row>
    <row r="17" customFormat="false" ht="15" hidden="false" customHeight="false" outlineLevel="0" collapsed="false">
      <c r="A17" s="49" t="s">
        <v>437</v>
      </c>
    </row>
  </sheetData>
  <mergeCells count="7">
    <mergeCell ref="A3:A4"/>
    <mergeCell ref="B3:B4"/>
    <mergeCell ref="C3:J3"/>
    <mergeCell ref="K3:K4"/>
    <mergeCell ref="L3:P3"/>
    <mergeCell ref="Q3:U3"/>
    <mergeCell ref="V3:V4"/>
  </mergeCells>
  <conditionalFormatting sqref="V5:V15">
    <cfRule type="cellIs" priority="2" operator="notEqual" aboveAverage="0" equalAverage="0" bottom="0" percent="0" rank="0" text="" dxfId="6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16" min="3" style="0" width="11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16.15" hidden="false" customHeight="false" outlineLevel="0" collapsed="false">
      <c r="A1" s="48" t="s">
        <v>438</v>
      </c>
    </row>
    <row r="2" customFormat="false" ht="15" hidden="false" customHeight="false" outlineLevel="0" collapsed="false">
      <c r="A2" s="49" t="s">
        <v>439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235</v>
      </c>
      <c r="D3" s="19" t="s">
        <v>236</v>
      </c>
      <c r="E3" s="19" t="s">
        <v>322</v>
      </c>
      <c r="F3" s="19" t="s">
        <v>11</v>
      </c>
      <c r="G3" s="19" t="s">
        <v>5</v>
      </c>
      <c r="H3" s="19"/>
      <c r="I3" s="19"/>
      <c r="J3" s="19"/>
      <c r="K3" s="19"/>
      <c r="L3" s="19" t="s">
        <v>6</v>
      </c>
      <c r="M3" s="19" t="s">
        <v>237</v>
      </c>
      <c r="N3" s="19"/>
      <c r="O3" s="19"/>
      <c r="P3" s="19"/>
      <c r="Q3" s="19" t="s">
        <v>134</v>
      </c>
      <c r="R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19"/>
      <c r="G4" s="50" t="s">
        <v>239</v>
      </c>
      <c r="H4" s="50" t="s">
        <v>240</v>
      </c>
      <c r="I4" s="50" t="s">
        <v>241</v>
      </c>
      <c r="J4" s="50" t="s">
        <v>240</v>
      </c>
      <c r="K4" s="50" t="s">
        <v>242</v>
      </c>
      <c r="L4" s="19"/>
      <c r="M4" s="50" t="s">
        <v>386</v>
      </c>
      <c r="N4" s="50" t="s">
        <v>245</v>
      </c>
      <c r="O4" s="50" t="s">
        <v>387</v>
      </c>
      <c r="P4" s="50" t="s">
        <v>440</v>
      </c>
      <c r="Q4" s="19"/>
      <c r="R4" s="19"/>
    </row>
    <row r="5" customFormat="false" ht="15" hidden="false" customHeight="false" outlineLevel="0" collapsed="false">
      <c r="A5" s="51" t="n">
        <v>1</v>
      </c>
      <c r="B5" s="52" t="s">
        <v>246</v>
      </c>
      <c r="C5" s="53" t="n">
        <v>133</v>
      </c>
      <c r="D5" s="53" t="n">
        <v>120</v>
      </c>
      <c r="E5" s="53" t="n">
        <v>31</v>
      </c>
      <c r="F5" s="21" t="n">
        <f aca="false">C5+D5-E5</f>
        <v>222</v>
      </c>
      <c r="G5" s="53" t="n">
        <v>77</v>
      </c>
      <c r="H5" s="54" t="n">
        <f aca="false">IFERROR(G5/K5,0)</f>
        <v>0.658119658119658</v>
      </c>
      <c r="I5" s="53" t="n">
        <v>40</v>
      </c>
      <c r="J5" s="54" t="n">
        <f aca="false">IFERROR(I5/K5,0)</f>
        <v>0.341880341880342</v>
      </c>
      <c r="K5" s="21" t="n">
        <f aca="false">G5+I5</f>
        <v>117</v>
      </c>
      <c r="L5" s="21" t="n">
        <f aca="false">F5-K5</f>
        <v>105</v>
      </c>
      <c r="M5" s="53" t="n">
        <v>105</v>
      </c>
      <c r="N5" s="53" t="n">
        <v>0</v>
      </c>
      <c r="O5" s="53" t="n">
        <v>0</v>
      </c>
      <c r="P5" s="53" t="n">
        <v>0</v>
      </c>
      <c r="Q5" s="21" t="n">
        <f aca="false">SUM(N5:P5)</f>
        <v>0</v>
      </c>
      <c r="R5" s="21" t="n">
        <f aca="false">L5-SUM(M5:P5)</f>
        <v>0</v>
      </c>
    </row>
    <row r="6" customFormat="false" ht="15" hidden="false" customHeight="false" outlineLevel="0" collapsed="false">
      <c r="A6" s="55" t="n">
        <v>2</v>
      </c>
      <c r="B6" s="56" t="s">
        <v>247</v>
      </c>
      <c r="C6" s="57" t="n">
        <v>103</v>
      </c>
      <c r="D6" s="57" t="n">
        <v>113</v>
      </c>
      <c r="E6" s="57" t="n">
        <v>45</v>
      </c>
      <c r="F6" s="26" t="n">
        <f aca="false">C6+D6-E6</f>
        <v>171</v>
      </c>
      <c r="G6" s="57" t="n">
        <v>58</v>
      </c>
      <c r="H6" s="58" t="n">
        <f aca="false">IFERROR(G6/K6,0)</f>
        <v>0.734177215189873</v>
      </c>
      <c r="I6" s="57" t="n">
        <v>21</v>
      </c>
      <c r="J6" s="58" t="n">
        <f aca="false">IFERROR(I6/K6,0)</f>
        <v>0.265822784810127</v>
      </c>
      <c r="K6" s="26" t="n">
        <f aca="false">G6+I6</f>
        <v>79</v>
      </c>
      <c r="L6" s="26" t="n">
        <f aca="false">F6-K6</f>
        <v>92</v>
      </c>
      <c r="M6" s="57" t="n">
        <v>92</v>
      </c>
      <c r="N6" s="57" t="n">
        <v>0</v>
      </c>
      <c r="O6" s="57" t="n">
        <v>0</v>
      </c>
      <c r="P6" s="57" t="n">
        <v>0</v>
      </c>
      <c r="Q6" s="26" t="n">
        <f aca="false">SUM(N6:P6)</f>
        <v>0</v>
      </c>
      <c r="R6" s="26" t="n">
        <f aca="false">L6-SUM(M6:P6)</f>
        <v>0</v>
      </c>
    </row>
    <row r="7" customFormat="false" ht="15" hidden="false" customHeight="false" outlineLevel="0" collapsed="false">
      <c r="A7" s="51" t="n">
        <v>3</v>
      </c>
      <c r="B7" s="52" t="s">
        <v>248</v>
      </c>
      <c r="C7" s="53" t="n">
        <v>93</v>
      </c>
      <c r="D7" s="53" t="n">
        <v>104</v>
      </c>
      <c r="E7" s="53" t="n">
        <v>30</v>
      </c>
      <c r="F7" s="21" t="n">
        <f aca="false">C7+D7-E7</f>
        <v>167</v>
      </c>
      <c r="G7" s="53" t="n">
        <v>52</v>
      </c>
      <c r="H7" s="54" t="n">
        <f aca="false">IFERROR(G7/K7,0)</f>
        <v>0.597701149425287</v>
      </c>
      <c r="I7" s="53" t="n">
        <v>35</v>
      </c>
      <c r="J7" s="54" t="n">
        <f aca="false">IFERROR(I7/K7,0)</f>
        <v>0.402298850574713</v>
      </c>
      <c r="K7" s="21" t="n">
        <f aca="false">G7+I7</f>
        <v>87</v>
      </c>
      <c r="L7" s="21" t="n">
        <f aca="false">F7-K7</f>
        <v>80</v>
      </c>
      <c r="M7" s="53" t="n">
        <v>80</v>
      </c>
      <c r="N7" s="53" t="n">
        <v>0</v>
      </c>
      <c r="O7" s="53" t="n">
        <v>0</v>
      </c>
      <c r="P7" s="53" t="n">
        <v>0</v>
      </c>
      <c r="Q7" s="21" t="n">
        <f aca="false">SUM(N7:P7)</f>
        <v>0</v>
      </c>
      <c r="R7" s="21" t="n">
        <f aca="false">L7-SUM(M7:P7)</f>
        <v>0</v>
      </c>
    </row>
    <row r="8" customFormat="false" ht="15" hidden="false" customHeight="false" outlineLevel="0" collapsed="false">
      <c r="A8" s="55" t="n">
        <v>4</v>
      </c>
      <c r="B8" s="56" t="s">
        <v>249</v>
      </c>
      <c r="C8" s="57" t="n">
        <v>78</v>
      </c>
      <c r="D8" s="57" t="n">
        <v>98</v>
      </c>
      <c r="E8" s="57" t="n">
        <v>26</v>
      </c>
      <c r="F8" s="26" t="n">
        <f aca="false">C8+D8-E8</f>
        <v>150</v>
      </c>
      <c r="G8" s="57" t="n">
        <v>52</v>
      </c>
      <c r="H8" s="58" t="n">
        <f aca="false">IFERROR(G8/K8,0)</f>
        <v>0.787878787878788</v>
      </c>
      <c r="I8" s="57" t="n">
        <v>14</v>
      </c>
      <c r="J8" s="58" t="n">
        <f aca="false">IFERROR(I8/K8,0)</f>
        <v>0.212121212121212</v>
      </c>
      <c r="K8" s="26" t="n">
        <f aca="false">G8+I8</f>
        <v>66</v>
      </c>
      <c r="L8" s="26" t="n">
        <f aca="false">F8-K8</f>
        <v>84</v>
      </c>
      <c r="M8" s="57" t="n">
        <v>84</v>
      </c>
      <c r="N8" s="57" t="n">
        <v>0</v>
      </c>
      <c r="O8" s="57" t="n">
        <v>0</v>
      </c>
      <c r="P8" s="57" t="n">
        <v>0</v>
      </c>
      <c r="Q8" s="26" t="n">
        <f aca="false">SUM(N8:P8)</f>
        <v>0</v>
      </c>
      <c r="R8" s="26" t="n">
        <f aca="false">L8-SUM(M8:P8)</f>
        <v>0</v>
      </c>
    </row>
    <row r="9" customFormat="false" ht="15" hidden="false" customHeight="false" outlineLevel="0" collapsed="false">
      <c r="A9" s="51" t="n">
        <v>5</v>
      </c>
      <c r="B9" s="52" t="s">
        <v>250</v>
      </c>
      <c r="C9" s="53" t="n">
        <v>93</v>
      </c>
      <c r="D9" s="53" t="n">
        <v>98</v>
      </c>
      <c r="E9" s="53" t="n">
        <v>16</v>
      </c>
      <c r="F9" s="21" t="n">
        <f aca="false">C9+D9-E9</f>
        <v>175</v>
      </c>
      <c r="G9" s="53" t="n">
        <v>91</v>
      </c>
      <c r="H9" s="54" t="n">
        <f aca="false">IFERROR(G9/K9,0)</f>
        <v>0.805309734513274</v>
      </c>
      <c r="I9" s="53" t="n">
        <v>22</v>
      </c>
      <c r="J9" s="54" t="n">
        <f aca="false">IFERROR(I9/K9,0)</f>
        <v>0.194690265486726</v>
      </c>
      <c r="K9" s="21" t="n">
        <f aca="false">G9+I9</f>
        <v>113</v>
      </c>
      <c r="L9" s="21" t="n">
        <f aca="false">F9-K9</f>
        <v>62</v>
      </c>
      <c r="M9" s="53" t="n">
        <v>62</v>
      </c>
      <c r="N9" s="53" t="n">
        <v>0</v>
      </c>
      <c r="O9" s="53" t="n">
        <v>0</v>
      </c>
      <c r="P9" s="53" t="n">
        <v>0</v>
      </c>
      <c r="Q9" s="21" t="n">
        <f aca="false">SUM(N9:P9)</f>
        <v>0</v>
      </c>
      <c r="R9" s="21" t="n">
        <f aca="false">L9-SUM(M9:P9)</f>
        <v>0</v>
      </c>
    </row>
    <row r="10" customFormat="false" ht="15" hidden="false" customHeight="false" outlineLevel="0" collapsed="false">
      <c r="A10" s="55" t="n">
        <v>6</v>
      </c>
      <c r="B10" s="56" t="s">
        <v>251</v>
      </c>
      <c r="C10" s="57" t="n">
        <v>147</v>
      </c>
      <c r="D10" s="57" t="n">
        <v>139</v>
      </c>
      <c r="E10" s="57" t="n">
        <v>49</v>
      </c>
      <c r="F10" s="26" t="n">
        <f aca="false">C10+D10-E10</f>
        <v>237</v>
      </c>
      <c r="G10" s="57" t="n">
        <v>92</v>
      </c>
      <c r="H10" s="58" t="n">
        <f aca="false">IFERROR(G10/K10,0)</f>
        <v>0.724409448818898</v>
      </c>
      <c r="I10" s="57" t="n">
        <v>35</v>
      </c>
      <c r="J10" s="58" t="n">
        <f aca="false">IFERROR(I10/K10,0)</f>
        <v>0.275590551181102</v>
      </c>
      <c r="K10" s="26" t="n">
        <f aca="false">G10+I10</f>
        <v>127</v>
      </c>
      <c r="L10" s="26" t="n">
        <f aca="false">F10-K10</f>
        <v>110</v>
      </c>
      <c r="M10" s="57" t="n">
        <v>110</v>
      </c>
      <c r="N10" s="57" t="n">
        <v>0</v>
      </c>
      <c r="O10" s="57" t="n">
        <v>0</v>
      </c>
      <c r="P10" s="57" t="n">
        <v>0</v>
      </c>
      <c r="Q10" s="26" t="n">
        <f aca="false">SUM(N10:P10)</f>
        <v>0</v>
      </c>
      <c r="R10" s="26" t="n">
        <f aca="false">L10-SUM(M10:P10)</f>
        <v>0</v>
      </c>
    </row>
    <row r="11" customFormat="false" ht="15" hidden="false" customHeight="false" outlineLevel="0" collapsed="false">
      <c r="A11" s="51" t="n">
        <v>7</v>
      </c>
      <c r="B11" s="52" t="s">
        <v>252</v>
      </c>
      <c r="C11" s="53" t="n">
        <v>27</v>
      </c>
      <c r="D11" s="53" t="n">
        <v>58</v>
      </c>
      <c r="E11" s="53" t="n">
        <v>11</v>
      </c>
      <c r="F11" s="21" t="n">
        <f aca="false">C11+D11-E11</f>
        <v>74</v>
      </c>
      <c r="G11" s="53" t="n">
        <v>36</v>
      </c>
      <c r="H11" s="54" t="n">
        <f aca="false">IFERROR(G11/K11,0)</f>
        <v>1</v>
      </c>
      <c r="I11" s="53" t="n">
        <v>0</v>
      </c>
      <c r="J11" s="54" t="n">
        <f aca="false">IFERROR(I11/K11,0)</f>
        <v>0</v>
      </c>
      <c r="K11" s="21" t="n">
        <f aca="false">G11+I11</f>
        <v>36</v>
      </c>
      <c r="L11" s="21" t="n">
        <f aca="false">F11-K11</f>
        <v>38</v>
      </c>
      <c r="M11" s="53" t="n">
        <v>38</v>
      </c>
      <c r="N11" s="53" t="n">
        <v>0</v>
      </c>
      <c r="O11" s="53" t="n">
        <v>0</v>
      </c>
      <c r="P11" s="53" t="n">
        <v>0</v>
      </c>
      <c r="Q11" s="21" t="n">
        <f aca="false">SUM(N11:P11)</f>
        <v>0</v>
      </c>
      <c r="R11" s="21" t="n">
        <f aca="false">L11-SUM(M11:P11)</f>
        <v>0</v>
      </c>
    </row>
    <row r="12" customFormat="false" ht="15" hidden="false" customHeight="false" outlineLevel="0" collapsed="false">
      <c r="A12" s="55" t="n">
        <v>8</v>
      </c>
      <c r="B12" s="56" t="s">
        <v>253</v>
      </c>
      <c r="C12" s="57" t="n">
        <v>92</v>
      </c>
      <c r="D12" s="57" t="n">
        <v>91</v>
      </c>
      <c r="E12" s="57" t="n">
        <v>29</v>
      </c>
      <c r="F12" s="26" t="n">
        <f aca="false">C12+D12-E12</f>
        <v>154</v>
      </c>
      <c r="G12" s="57" t="n">
        <v>58</v>
      </c>
      <c r="H12" s="58" t="n">
        <f aca="false">IFERROR(G12/K12,0)</f>
        <v>0.840579710144928</v>
      </c>
      <c r="I12" s="57" t="n">
        <v>11</v>
      </c>
      <c r="J12" s="58" t="n">
        <f aca="false">IFERROR(I12/K12,0)</f>
        <v>0.159420289855072</v>
      </c>
      <c r="K12" s="26" t="n">
        <f aca="false">G12+I12</f>
        <v>69</v>
      </c>
      <c r="L12" s="26" t="n">
        <f aca="false">F12-K12</f>
        <v>85</v>
      </c>
      <c r="M12" s="57" t="n">
        <v>85</v>
      </c>
      <c r="N12" s="57" t="n">
        <v>0</v>
      </c>
      <c r="O12" s="57" t="n">
        <v>0</v>
      </c>
      <c r="P12" s="57" t="n">
        <v>0</v>
      </c>
      <c r="Q12" s="26" t="n">
        <f aca="false">SUM(N12:P12)</f>
        <v>0</v>
      </c>
      <c r="R12" s="26" t="n">
        <f aca="false">L12-SUM(M12:P12)</f>
        <v>0</v>
      </c>
    </row>
    <row r="13" customFormat="false" ht="15" hidden="false" customHeight="false" outlineLevel="0" collapsed="false">
      <c r="A13" s="51" t="n">
        <v>9</v>
      </c>
      <c r="B13" s="52" t="s">
        <v>254</v>
      </c>
      <c r="C13" s="53" t="n">
        <v>83</v>
      </c>
      <c r="D13" s="53" t="n">
        <v>50</v>
      </c>
      <c r="E13" s="53" t="n">
        <v>19</v>
      </c>
      <c r="F13" s="21" t="n">
        <f aca="false">C13+D13-E13</f>
        <v>114</v>
      </c>
      <c r="G13" s="53" t="n">
        <v>63</v>
      </c>
      <c r="H13" s="54" t="n">
        <f aca="false">IFERROR(G13/K13,0)</f>
        <v>0.828947368421053</v>
      </c>
      <c r="I13" s="53" t="n">
        <v>13</v>
      </c>
      <c r="J13" s="54" t="n">
        <f aca="false">IFERROR(I13/K13,0)</f>
        <v>0.171052631578947</v>
      </c>
      <c r="K13" s="21" t="n">
        <f aca="false">G13+I13</f>
        <v>76</v>
      </c>
      <c r="L13" s="21" t="n">
        <f aca="false">F13-K13</f>
        <v>38</v>
      </c>
      <c r="M13" s="53" t="n">
        <v>38</v>
      </c>
      <c r="N13" s="53" t="n">
        <v>0</v>
      </c>
      <c r="O13" s="53" t="n">
        <v>0</v>
      </c>
      <c r="P13" s="53" t="n">
        <v>0</v>
      </c>
      <c r="Q13" s="21" t="n">
        <f aca="false">SUM(N13:P13)</f>
        <v>0</v>
      </c>
      <c r="R13" s="21" t="n">
        <f aca="false">L13-SUM(M13:P13)</f>
        <v>0</v>
      </c>
    </row>
    <row r="14" customFormat="false" ht="15" hidden="false" customHeight="false" outlineLevel="0" collapsed="false">
      <c r="A14" s="55" t="n">
        <v>10</v>
      </c>
      <c r="B14" s="56" t="s">
        <v>255</v>
      </c>
      <c r="C14" s="57" t="n">
        <v>128</v>
      </c>
      <c r="D14" s="57" t="n">
        <v>147</v>
      </c>
      <c r="E14" s="57" t="n">
        <v>49</v>
      </c>
      <c r="F14" s="26" t="n">
        <f aca="false">C14+D14-E14</f>
        <v>226</v>
      </c>
      <c r="G14" s="57" t="n">
        <v>92</v>
      </c>
      <c r="H14" s="58" t="n">
        <f aca="false">IFERROR(G14/K14,0)</f>
        <v>0.814159292035398</v>
      </c>
      <c r="I14" s="57" t="n">
        <v>21</v>
      </c>
      <c r="J14" s="58" t="n">
        <f aca="false">IFERROR(I14/K14,0)</f>
        <v>0.185840707964602</v>
      </c>
      <c r="K14" s="26" t="n">
        <f aca="false">G14+I14</f>
        <v>113</v>
      </c>
      <c r="L14" s="26" t="n">
        <f aca="false">F14-K14</f>
        <v>113</v>
      </c>
      <c r="M14" s="57" t="n">
        <v>113</v>
      </c>
      <c r="N14" s="57" t="n">
        <v>0</v>
      </c>
      <c r="O14" s="57" t="n">
        <v>0</v>
      </c>
      <c r="P14" s="57" t="n">
        <v>0</v>
      </c>
      <c r="Q14" s="26" t="n">
        <f aca="false">SUM(N14:P14)</f>
        <v>0</v>
      </c>
      <c r="R14" s="26" t="n">
        <f aca="false">L14-SUM(M14:P14)</f>
        <v>0</v>
      </c>
    </row>
    <row r="15" customFormat="false" ht="15" hidden="false" customHeight="false" outlineLevel="0" collapsed="false">
      <c r="A15" s="59"/>
      <c r="B15" s="28" t="s">
        <v>11</v>
      </c>
      <c r="C15" s="30" t="n">
        <f aca="false">SUM(C5:INDEX(C:C,ROW()-1))</f>
        <v>977</v>
      </c>
      <c r="D15" s="30" t="n">
        <f aca="false">SUM(D5:INDEX(D:D,ROW()-1))</f>
        <v>1018</v>
      </c>
      <c r="E15" s="30" t="n">
        <f aca="false">SUM(E5:INDEX(E:E,ROW()-1))</f>
        <v>305</v>
      </c>
      <c r="F15" s="30" t="n">
        <f aca="false">C15+D15-E15</f>
        <v>1690</v>
      </c>
      <c r="G15" s="30" t="n">
        <f aca="false">SUM(G5:INDEX(G:G,ROW()-1))</f>
        <v>671</v>
      </c>
      <c r="H15" s="60" t="n">
        <f aca="false">IFERROR(G15/K15,0)</f>
        <v>0.7599093997735</v>
      </c>
      <c r="I15" s="30" t="n">
        <f aca="false">SUM(I5:INDEX(I:I,ROW()-1))</f>
        <v>212</v>
      </c>
      <c r="J15" s="60" t="n">
        <f aca="false">IFERROR(I15/K15,0)</f>
        <v>0.240090600226501</v>
      </c>
      <c r="K15" s="30" t="n">
        <f aca="false">G15+I15</f>
        <v>883</v>
      </c>
      <c r="L15" s="30" t="n">
        <f aca="false">F15-K15</f>
        <v>807</v>
      </c>
      <c r="M15" s="30" t="n">
        <f aca="false">SUM(M5:INDEX(M:M,ROW()-1))</f>
        <v>807</v>
      </c>
      <c r="N15" s="30" t="n">
        <f aca="false">SUM(N5:INDEX(N:N,ROW()-1))</f>
        <v>0</v>
      </c>
      <c r="O15" s="30" t="n">
        <f aca="false">SUM(O5:INDEX(O:O,ROW()-1))</f>
        <v>0</v>
      </c>
      <c r="P15" s="30" t="n">
        <f aca="false">SUM(P5:INDEX(P:P,ROW()-1))</f>
        <v>0</v>
      </c>
      <c r="Q15" s="30" t="n">
        <f aca="false">SUM(N15:P15)</f>
        <v>0</v>
      </c>
      <c r="R15" s="30" t="n">
        <f aca="false">L15-SUM(M15:P15)</f>
        <v>0</v>
      </c>
    </row>
    <row r="17" customFormat="false" ht="15" hidden="false" customHeight="false" outlineLevel="0" collapsed="false">
      <c r="A17" s="49" t="s">
        <v>256</v>
      </c>
    </row>
  </sheetData>
  <mergeCells count="11">
    <mergeCell ref="A3:A4"/>
    <mergeCell ref="B3:B4"/>
    <mergeCell ref="C3:C4"/>
    <mergeCell ref="D3:D4"/>
    <mergeCell ref="E3:E4"/>
    <mergeCell ref="F3:F4"/>
    <mergeCell ref="G3:K3"/>
    <mergeCell ref="L3:L4"/>
    <mergeCell ref="M3:P3"/>
    <mergeCell ref="Q3:Q4"/>
    <mergeCell ref="R3:R4"/>
  </mergeCells>
  <conditionalFormatting sqref="R5:R15">
    <cfRule type="cellIs" priority="2" operator="notEqual" aboveAverage="0" equalAverage="0" bottom="0" percent="0" rank="0" text="" dxfId="6">
      <formula>0</formula>
    </cfRule>
  </conditionalFormatting>
  <conditionalFormatting sqref="Q5:Q15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48" t="s">
        <v>441</v>
      </c>
    </row>
    <row r="2" customFormat="false" ht="22.35" hidden="false" customHeight="false" outlineLevel="0" collapsed="false">
      <c r="A2" s="19" t="s">
        <v>234</v>
      </c>
      <c r="B2" s="19" t="s">
        <v>15</v>
      </c>
      <c r="C2" s="19" t="s">
        <v>258</v>
      </c>
      <c r="D2" s="19" t="s">
        <v>259</v>
      </c>
      <c r="E2" s="19" t="s">
        <v>234</v>
      </c>
      <c r="F2" s="19" t="s">
        <v>15</v>
      </c>
      <c r="G2" s="19" t="s">
        <v>258</v>
      </c>
      <c r="H2" s="19" t="s">
        <v>259</v>
      </c>
    </row>
    <row r="3" customFormat="false" ht="15" hidden="false" customHeight="false" outlineLevel="0" collapsed="false">
      <c r="A3" s="51" t="n">
        <v>1</v>
      </c>
      <c r="B3" s="61" t="s">
        <v>260</v>
      </c>
      <c r="C3" s="61" t="s">
        <v>442</v>
      </c>
      <c r="D3" s="51" t="n">
        <v>6</v>
      </c>
      <c r="E3" s="51" t="n">
        <v>1</v>
      </c>
      <c r="F3" s="61" t="s">
        <v>262</v>
      </c>
      <c r="G3" s="61" t="s">
        <v>443</v>
      </c>
      <c r="H3" s="51" t="n">
        <v>4</v>
      </c>
    </row>
    <row r="4" customFormat="false" ht="15" hidden="false" customHeight="false" outlineLevel="0" collapsed="false">
      <c r="A4" s="51" t="n">
        <v>2</v>
      </c>
      <c r="B4" s="62"/>
      <c r="C4" s="61" t="s">
        <v>444</v>
      </c>
      <c r="D4" s="51" t="n">
        <v>4</v>
      </c>
      <c r="E4" s="51" t="n">
        <v>2</v>
      </c>
      <c r="F4" s="62"/>
      <c r="G4" s="61" t="s">
        <v>445</v>
      </c>
      <c r="H4" s="51" t="n">
        <v>3</v>
      </c>
    </row>
    <row r="5" customFormat="false" ht="15" hidden="false" customHeight="false" outlineLevel="0" collapsed="false">
      <c r="A5" s="51" t="n">
        <v>3</v>
      </c>
      <c r="B5" s="62"/>
      <c r="C5" s="61" t="s">
        <v>446</v>
      </c>
      <c r="D5" s="51" t="n">
        <v>3</v>
      </c>
      <c r="E5" s="51" t="n">
        <v>3</v>
      </c>
      <c r="F5" s="62"/>
      <c r="G5" s="61" t="s">
        <v>447</v>
      </c>
      <c r="H5" s="51" t="n">
        <v>3</v>
      </c>
    </row>
    <row r="6" customFormat="false" ht="15" hidden="false" customHeight="false" outlineLevel="0" collapsed="false">
      <c r="A6" s="51" t="n">
        <v>4</v>
      </c>
      <c r="B6" s="62"/>
      <c r="C6" s="61" t="s">
        <v>448</v>
      </c>
      <c r="D6" s="51" t="n">
        <v>3</v>
      </c>
      <c r="E6" s="51" t="n">
        <v>4</v>
      </c>
      <c r="F6" s="62"/>
      <c r="G6" s="61" t="s">
        <v>391</v>
      </c>
      <c r="H6" s="51" t="n">
        <v>1</v>
      </c>
    </row>
    <row r="7" customFormat="false" ht="15" hidden="false" customHeight="false" outlineLevel="0" collapsed="false">
      <c r="A7" s="51" t="n">
        <v>5</v>
      </c>
      <c r="B7" s="62"/>
      <c r="C7" s="61" t="s">
        <v>449</v>
      </c>
      <c r="D7" s="51" t="n">
        <v>2</v>
      </c>
      <c r="E7" s="51" t="n">
        <v>5</v>
      </c>
      <c r="F7" s="62"/>
      <c r="G7" s="61" t="s">
        <v>450</v>
      </c>
      <c r="H7" s="51" t="n">
        <v>1</v>
      </c>
    </row>
    <row r="8" customFormat="false" ht="15" hidden="false" customHeight="false" outlineLevel="0" collapsed="false">
      <c r="A8" s="55" t="n">
        <v>1</v>
      </c>
      <c r="B8" s="63" t="s">
        <v>272</v>
      </c>
      <c r="C8" s="63" t="s">
        <v>451</v>
      </c>
      <c r="D8" s="55" t="n">
        <v>3</v>
      </c>
      <c r="E8" s="55" t="n">
        <v>1</v>
      </c>
      <c r="F8" s="63" t="s">
        <v>274</v>
      </c>
      <c r="G8" s="63" t="s">
        <v>452</v>
      </c>
      <c r="H8" s="55" t="n">
        <v>6</v>
      </c>
    </row>
    <row r="9" customFormat="false" ht="15" hidden="false" customHeight="false" outlineLevel="0" collapsed="false">
      <c r="A9" s="55" t="n">
        <v>2</v>
      </c>
      <c r="B9" s="64"/>
      <c r="C9" s="63" t="s">
        <v>453</v>
      </c>
      <c r="D9" s="55" t="n">
        <v>3</v>
      </c>
      <c r="E9" s="55" t="n">
        <v>2</v>
      </c>
      <c r="F9" s="64"/>
      <c r="G9" s="63" t="s">
        <v>454</v>
      </c>
      <c r="H9" s="55" t="n">
        <v>2</v>
      </c>
    </row>
    <row r="10" customFormat="false" ht="15" hidden="false" customHeight="false" outlineLevel="0" collapsed="false">
      <c r="A10" s="55" t="n">
        <v>3</v>
      </c>
      <c r="B10" s="64"/>
      <c r="C10" s="63" t="s">
        <v>455</v>
      </c>
      <c r="D10" s="55" t="n">
        <v>2</v>
      </c>
      <c r="E10" s="55" t="n">
        <v>3</v>
      </c>
      <c r="F10" s="64"/>
      <c r="G10" s="63" t="s">
        <v>399</v>
      </c>
      <c r="H10" s="55" t="n">
        <v>2</v>
      </c>
    </row>
    <row r="11" customFormat="false" ht="15" hidden="false" customHeight="false" outlineLevel="0" collapsed="false">
      <c r="A11" s="55" t="n">
        <v>4</v>
      </c>
      <c r="B11" s="64"/>
      <c r="C11" s="63" t="s">
        <v>456</v>
      </c>
      <c r="D11" s="55" t="n">
        <v>1</v>
      </c>
      <c r="E11" s="55" t="n">
        <v>4</v>
      </c>
      <c r="F11" s="64"/>
      <c r="G11" s="63" t="s">
        <v>457</v>
      </c>
      <c r="H11" s="55" t="n">
        <v>2</v>
      </c>
    </row>
    <row r="12" customFormat="false" ht="15" hidden="false" customHeight="false" outlineLevel="0" collapsed="false">
      <c r="A12" s="55" t="n">
        <v>5</v>
      </c>
      <c r="B12" s="64"/>
      <c r="C12" s="63" t="s">
        <v>458</v>
      </c>
      <c r="D12" s="55" t="n">
        <v>1</v>
      </c>
      <c r="E12" s="55" t="n">
        <v>5</v>
      </c>
      <c r="F12" s="64"/>
      <c r="G12" s="63" t="s">
        <v>283</v>
      </c>
      <c r="H12" s="55" t="n">
        <v>1</v>
      </c>
    </row>
    <row r="13" customFormat="false" ht="15" hidden="false" customHeight="false" outlineLevel="0" collapsed="false">
      <c r="A13" s="51" t="n">
        <v>1</v>
      </c>
      <c r="B13" s="61" t="s">
        <v>284</v>
      </c>
      <c r="C13" s="61" t="s">
        <v>411</v>
      </c>
      <c r="D13" s="51" t="n">
        <v>5</v>
      </c>
      <c r="E13" s="51" t="n">
        <v>1</v>
      </c>
      <c r="F13" s="61" t="s">
        <v>286</v>
      </c>
      <c r="G13" s="61" t="s">
        <v>459</v>
      </c>
      <c r="H13" s="51" t="n">
        <v>2</v>
      </c>
    </row>
    <row r="14" customFormat="false" ht="15" hidden="false" customHeight="false" outlineLevel="0" collapsed="false">
      <c r="A14" s="51" t="n">
        <v>2</v>
      </c>
      <c r="B14" s="62"/>
      <c r="C14" s="61" t="s">
        <v>288</v>
      </c>
      <c r="D14" s="51" t="n">
        <v>4</v>
      </c>
      <c r="E14" s="51" t="n">
        <v>2</v>
      </c>
      <c r="F14" s="62"/>
      <c r="G14" s="61" t="s">
        <v>408</v>
      </c>
      <c r="H14" s="51" t="n">
        <v>2</v>
      </c>
    </row>
    <row r="15" customFormat="false" ht="15" hidden="false" customHeight="false" outlineLevel="0" collapsed="false">
      <c r="A15" s="51" t="n">
        <v>3</v>
      </c>
      <c r="B15" s="62"/>
      <c r="C15" s="61" t="s">
        <v>460</v>
      </c>
      <c r="D15" s="51" t="n">
        <v>3</v>
      </c>
      <c r="E15" s="51" t="n">
        <v>3</v>
      </c>
      <c r="F15" s="62"/>
      <c r="G15" s="61" t="s">
        <v>461</v>
      </c>
      <c r="H15" s="51" t="n">
        <v>1</v>
      </c>
    </row>
    <row r="16" customFormat="false" ht="15" hidden="false" customHeight="false" outlineLevel="0" collapsed="false">
      <c r="A16" s="51" t="n">
        <v>4</v>
      </c>
      <c r="B16" s="62"/>
      <c r="C16" s="61" t="s">
        <v>462</v>
      </c>
      <c r="D16" s="51" t="n">
        <v>3</v>
      </c>
      <c r="E16" s="51" t="n">
        <v>4</v>
      </c>
      <c r="F16" s="62"/>
      <c r="G16" s="61" t="s">
        <v>287</v>
      </c>
      <c r="H16" s="51" t="n">
        <v>1</v>
      </c>
    </row>
    <row r="17" customFormat="false" ht="15" hidden="false" customHeight="false" outlineLevel="0" collapsed="false">
      <c r="A17" s="51" t="n">
        <v>5</v>
      </c>
      <c r="B17" s="62"/>
      <c r="C17" s="61" t="s">
        <v>463</v>
      </c>
      <c r="D17" s="51" t="n">
        <v>2</v>
      </c>
      <c r="E17" s="51" t="n">
        <v>5</v>
      </c>
      <c r="F17" s="62"/>
      <c r="G17" s="61" t="s">
        <v>464</v>
      </c>
      <c r="H17" s="51" t="n">
        <v>1</v>
      </c>
    </row>
    <row r="18" customFormat="false" ht="15" hidden="false" customHeight="false" outlineLevel="0" collapsed="false">
      <c r="A18" s="55" t="n">
        <v>1</v>
      </c>
      <c r="B18" s="63" t="s">
        <v>296</v>
      </c>
      <c r="C18" s="63" t="s">
        <v>465</v>
      </c>
      <c r="D18" s="55" t="n">
        <v>6</v>
      </c>
      <c r="E18" s="55" t="n">
        <v>1</v>
      </c>
      <c r="F18" s="63" t="s">
        <v>298</v>
      </c>
      <c r="G18" s="63" t="s">
        <v>466</v>
      </c>
      <c r="H18" s="55" t="n">
        <v>3</v>
      </c>
    </row>
    <row r="19" customFormat="false" ht="15" hidden="false" customHeight="false" outlineLevel="0" collapsed="false">
      <c r="A19" s="55" t="n">
        <v>2</v>
      </c>
      <c r="B19" s="64"/>
      <c r="C19" s="63" t="s">
        <v>467</v>
      </c>
      <c r="D19" s="55" t="n">
        <v>4</v>
      </c>
      <c r="E19" s="55" t="n">
        <v>2</v>
      </c>
      <c r="F19" s="64"/>
      <c r="G19" s="63" t="s">
        <v>468</v>
      </c>
      <c r="H19" s="55" t="n">
        <v>3</v>
      </c>
    </row>
    <row r="20" customFormat="false" ht="15" hidden="false" customHeight="false" outlineLevel="0" collapsed="false">
      <c r="A20" s="55" t="n">
        <v>3</v>
      </c>
      <c r="B20" s="64"/>
      <c r="C20" s="63" t="s">
        <v>469</v>
      </c>
      <c r="D20" s="55" t="n">
        <v>3</v>
      </c>
      <c r="E20" s="55" t="n">
        <v>3</v>
      </c>
      <c r="F20" s="64"/>
      <c r="G20" s="63" t="s">
        <v>417</v>
      </c>
      <c r="H20" s="55" t="n">
        <v>2</v>
      </c>
    </row>
    <row r="21" customFormat="false" ht="15" hidden="false" customHeight="false" outlineLevel="0" collapsed="false">
      <c r="A21" s="55" t="n">
        <v>4</v>
      </c>
      <c r="B21" s="64"/>
      <c r="C21" s="63" t="s">
        <v>470</v>
      </c>
      <c r="D21" s="55" t="n">
        <v>3</v>
      </c>
      <c r="E21" s="55" t="n">
        <v>4</v>
      </c>
      <c r="F21" s="64"/>
      <c r="G21" s="63" t="s">
        <v>471</v>
      </c>
      <c r="H21" s="55" t="n">
        <v>1</v>
      </c>
    </row>
    <row r="22" customFormat="false" ht="15" hidden="false" customHeight="false" outlineLevel="0" collapsed="false">
      <c r="A22" s="55" t="n">
        <v>5</v>
      </c>
      <c r="B22" s="64"/>
      <c r="C22" s="63" t="s">
        <v>472</v>
      </c>
      <c r="D22" s="55" t="n">
        <v>2</v>
      </c>
      <c r="E22" s="55" t="n">
        <v>5</v>
      </c>
      <c r="F22" s="64"/>
      <c r="G22" s="63" t="s">
        <v>473</v>
      </c>
      <c r="H22" s="55" t="n">
        <v>1</v>
      </c>
    </row>
    <row r="23" customFormat="false" ht="15" hidden="false" customHeight="false" outlineLevel="0" collapsed="false">
      <c r="A23" s="51" t="n">
        <v>1</v>
      </c>
      <c r="B23" s="61" t="s">
        <v>308</v>
      </c>
      <c r="C23" s="61" t="s">
        <v>474</v>
      </c>
      <c r="D23" s="51" t="n">
        <v>3</v>
      </c>
      <c r="E23" s="51" t="n">
        <v>1</v>
      </c>
      <c r="F23" s="62"/>
      <c r="G23" s="62"/>
      <c r="H23" s="51"/>
    </row>
    <row r="24" customFormat="false" ht="15" hidden="false" customHeight="false" outlineLevel="0" collapsed="false">
      <c r="A24" s="51" t="n">
        <v>2</v>
      </c>
      <c r="B24" s="62"/>
      <c r="C24" s="61" t="s">
        <v>315</v>
      </c>
      <c r="D24" s="51" t="n">
        <v>2</v>
      </c>
      <c r="E24" s="51" t="n">
        <v>2</v>
      </c>
      <c r="F24" s="62"/>
      <c r="G24" s="62"/>
      <c r="H24" s="51"/>
    </row>
    <row r="25" customFormat="false" ht="15" hidden="false" customHeight="false" outlineLevel="0" collapsed="false">
      <c r="A25" s="51" t="n">
        <v>3</v>
      </c>
      <c r="B25" s="62"/>
      <c r="C25" s="61" t="s">
        <v>475</v>
      </c>
      <c r="D25" s="51" t="n">
        <v>2</v>
      </c>
      <c r="E25" s="51" t="n">
        <v>3</v>
      </c>
      <c r="F25" s="62"/>
      <c r="G25" s="62"/>
      <c r="H25" s="51"/>
    </row>
    <row r="26" customFormat="false" ht="15" hidden="false" customHeight="false" outlineLevel="0" collapsed="false">
      <c r="A26" s="51" t="n">
        <v>4</v>
      </c>
      <c r="B26" s="62"/>
      <c r="C26" s="61" t="s">
        <v>476</v>
      </c>
      <c r="D26" s="51" t="n">
        <v>2</v>
      </c>
      <c r="E26" s="51" t="n">
        <v>4</v>
      </c>
      <c r="F26" s="62"/>
      <c r="G26" s="62"/>
      <c r="H26" s="51"/>
    </row>
    <row r="27" customFormat="false" ht="15" hidden="false" customHeight="false" outlineLevel="0" collapsed="false">
      <c r="A27" s="51" t="n">
        <v>5</v>
      </c>
      <c r="B27" s="62"/>
      <c r="C27" s="61" t="s">
        <v>313</v>
      </c>
      <c r="D27" s="51" t="n">
        <v>2</v>
      </c>
      <c r="E27" s="51" t="n">
        <v>5</v>
      </c>
      <c r="F27" s="62"/>
      <c r="G27" s="62"/>
      <c r="H27" s="51"/>
    </row>
    <row r="29" customFormat="false" ht="15" hidden="false" customHeight="false" outlineLevel="0" collapsed="false">
      <c r="A29" s="49" t="s">
        <v>319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15" min="4" style="0" width="11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16.15" hidden="false" customHeight="false" outlineLevel="0" collapsed="false">
      <c r="A1" s="48" t="s">
        <v>477</v>
      </c>
    </row>
    <row r="2" customFormat="false" ht="15" hidden="false" customHeight="false" outlineLevel="0" collapsed="false">
      <c r="A2" s="49" t="s">
        <v>478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375</v>
      </c>
      <c r="D3" s="19" t="s">
        <v>376</v>
      </c>
      <c r="E3" s="19" t="s">
        <v>236</v>
      </c>
      <c r="F3" s="19" t="s">
        <v>11</v>
      </c>
      <c r="G3" s="19" t="s">
        <v>5</v>
      </c>
      <c r="H3" s="19"/>
      <c r="I3" s="19"/>
      <c r="J3" s="19"/>
      <c r="K3" s="19"/>
      <c r="L3" s="19" t="s">
        <v>6</v>
      </c>
      <c r="M3" s="19" t="s">
        <v>237</v>
      </c>
      <c r="N3" s="19"/>
      <c r="O3" s="19"/>
      <c r="P3" s="19" t="s">
        <v>134</v>
      </c>
      <c r="Q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19"/>
      <c r="G4" s="50" t="s">
        <v>239</v>
      </c>
      <c r="H4" s="50" t="s">
        <v>240</v>
      </c>
      <c r="I4" s="50" t="s">
        <v>241</v>
      </c>
      <c r="J4" s="50" t="s">
        <v>240</v>
      </c>
      <c r="K4" s="50" t="s">
        <v>242</v>
      </c>
      <c r="L4" s="19"/>
      <c r="M4" s="50" t="s">
        <v>479</v>
      </c>
      <c r="N4" s="50" t="s">
        <v>480</v>
      </c>
      <c r="O4" s="50" t="s">
        <v>387</v>
      </c>
      <c r="P4" s="19"/>
      <c r="Q4" s="19"/>
    </row>
    <row r="5" customFormat="false" ht="15" hidden="false" customHeight="false" outlineLevel="0" collapsed="false">
      <c r="A5" s="51" t="n">
        <v>1</v>
      </c>
      <c r="B5" s="52" t="s">
        <v>247</v>
      </c>
      <c r="C5" s="52" t="s">
        <v>247</v>
      </c>
      <c r="D5" s="53" t="n">
        <v>5</v>
      </c>
      <c r="E5" s="53" t="n">
        <v>15</v>
      </c>
      <c r="F5" s="21" t="n">
        <f aca="false">D5+E5</f>
        <v>20</v>
      </c>
      <c r="G5" s="53" t="n">
        <v>6</v>
      </c>
      <c r="H5" s="54" t="n">
        <f aca="false">IFERROR(G5/K5,0)</f>
        <v>0.857142857142857</v>
      </c>
      <c r="I5" s="53" t="n">
        <v>1</v>
      </c>
      <c r="J5" s="54" t="n">
        <f aca="false">IFERROR(I5/K5,0)</f>
        <v>0.142857142857143</v>
      </c>
      <c r="K5" s="21" t="n">
        <f aca="false">G5+I5</f>
        <v>7</v>
      </c>
      <c r="L5" s="21" t="n">
        <f aca="false">F5-K5</f>
        <v>13</v>
      </c>
      <c r="M5" s="53" t="n">
        <v>13</v>
      </c>
      <c r="N5" s="53" t="n">
        <v>0</v>
      </c>
      <c r="O5" s="53" t="n">
        <v>0</v>
      </c>
      <c r="P5" s="21" t="n">
        <f aca="false">SUM(N5:O5)</f>
        <v>0</v>
      </c>
      <c r="Q5" s="21" t="n">
        <f aca="false">L5-SUM(M5:O5)</f>
        <v>0</v>
      </c>
    </row>
    <row r="6" customFormat="false" ht="15" hidden="false" customHeight="false" outlineLevel="0" collapsed="false">
      <c r="A6" s="55" t="n">
        <v>2</v>
      </c>
      <c r="B6" s="56" t="s">
        <v>248</v>
      </c>
      <c r="C6" s="56" t="s">
        <v>248</v>
      </c>
      <c r="D6" s="57" t="n">
        <v>86</v>
      </c>
      <c r="E6" s="57" t="n">
        <v>165</v>
      </c>
      <c r="F6" s="26" t="n">
        <f aca="false">D6+E6</f>
        <v>251</v>
      </c>
      <c r="G6" s="57" t="n">
        <v>108</v>
      </c>
      <c r="H6" s="58" t="n">
        <f aca="false">IFERROR(G6/K6,0)</f>
        <v>0.788321167883212</v>
      </c>
      <c r="I6" s="57" t="n">
        <v>29</v>
      </c>
      <c r="J6" s="58" t="n">
        <f aca="false">IFERROR(I6/K6,0)</f>
        <v>0.211678832116788</v>
      </c>
      <c r="K6" s="26" t="n">
        <f aca="false">G6+I6</f>
        <v>137</v>
      </c>
      <c r="L6" s="26" t="n">
        <f aca="false">F6-K6</f>
        <v>114</v>
      </c>
      <c r="M6" s="57" t="n">
        <v>114</v>
      </c>
      <c r="N6" s="57" t="n">
        <v>0</v>
      </c>
      <c r="O6" s="57" t="n">
        <v>0</v>
      </c>
      <c r="P6" s="26" t="n">
        <f aca="false">SUM(N6:O6)</f>
        <v>0</v>
      </c>
      <c r="Q6" s="26" t="n">
        <f aca="false">L6-SUM(M6:O6)</f>
        <v>0</v>
      </c>
    </row>
    <row r="7" customFormat="false" ht="15" hidden="false" customHeight="false" outlineLevel="0" collapsed="false">
      <c r="A7" s="51" t="n">
        <v>3</v>
      </c>
      <c r="B7" s="52" t="s">
        <v>251</v>
      </c>
      <c r="C7" s="52" t="s">
        <v>379</v>
      </c>
      <c r="D7" s="53" t="n">
        <v>74</v>
      </c>
      <c r="E7" s="53" t="n">
        <v>117</v>
      </c>
      <c r="F7" s="21" t="n">
        <f aca="false">D7+E7</f>
        <v>191</v>
      </c>
      <c r="G7" s="53" t="n">
        <v>76</v>
      </c>
      <c r="H7" s="54" t="n">
        <f aca="false">IFERROR(G7/K7,0)</f>
        <v>0.91566265060241</v>
      </c>
      <c r="I7" s="53" t="n">
        <v>7</v>
      </c>
      <c r="J7" s="54" t="n">
        <f aca="false">IFERROR(I7/K7,0)</f>
        <v>0.0843373493975904</v>
      </c>
      <c r="K7" s="21" t="n">
        <f aca="false">G7+I7</f>
        <v>83</v>
      </c>
      <c r="L7" s="21" t="n">
        <f aca="false">F7-K7</f>
        <v>108</v>
      </c>
      <c r="M7" s="53" t="n">
        <v>108</v>
      </c>
      <c r="N7" s="53" t="n">
        <v>0</v>
      </c>
      <c r="O7" s="53" t="n">
        <v>0</v>
      </c>
      <c r="P7" s="21" t="n">
        <f aca="false">SUM(N7:O7)</f>
        <v>0</v>
      </c>
      <c r="Q7" s="21" t="n">
        <f aca="false">L7-SUM(M7:O7)</f>
        <v>0</v>
      </c>
    </row>
    <row r="8" customFormat="false" ht="15" hidden="false" customHeight="false" outlineLevel="0" collapsed="false">
      <c r="A8" s="55" t="n">
        <v>4</v>
      </c>
      <c r="B8" s="56" t="s">
        <v>251</v>
      </c>
      <c r="C8" s="56" t="s">
        <v>251</v>
      </c>
      <c r="D8" s="57" t="n">
        <v>19</v>
      </c>
      <c r="E8" s="57" t="n">
        <v>79</v>
      </c>
      <c r="F8" s="26" t="n">
        <f aca="false">D8+E8</f>
        <v>98</v>
      </c>
      <c r="G8" s="57" t="n">
        <v>46</v>
      </c>
      <c r="H8" s="58" t="n">
        <f aca="false">IFERROR(G8/K8,0)</f>
        <v>0.92</v>
      </c>
      <c r="I8" s="57" t="n">
        <v>4</v>
      </c>
      <c r="J8" s="58" t="n">
        <f aca="false">IFERROR(I8/K8,0)</f>
        <v>0.08</v>
      </c>
      <c r="K8" s="26" t="n">
        <f aca="false">G8+I8</f>
        <v>50</v>
      </c>
      <c r="L8" s="26" t="n">
        <f aca="false">F8-K8</f>
        <v>48</v>
      </c>
      <c r="M8" s="57" t="n">
        <v>48</v>
      </c>
      <c r="N8" s="57" t="n">
        <v>0</v>
      </c>
      <c r="O8" s="57" t="n">
        <v>0</v>
      </c>
      <c r="P8" s="26" t="n">
        <f aca="false">SUM(N8:O8)</f>
        <v>0</v>
      </c>
      <c r="Q8" s="26" t="n">
        <f aca="false">L8-SUM(M8:O8)</f>
        <v>0</v>
      </c>
    </row>
    <row r="9" customFormat="false" ht="15" hidden="false" customHeight="false" outlineLevel="0" collapsed="false">
      <c r="A9" s="51" t="n">
        <v>5</v>
      </c>
      <c r="B9" s="52" t="s">
        <v>380</v>
      </c>
      <c r="C9" s="52" t="s">
        <v>380</v>
      </c>
      <c r="D9" s="53" t="n">
        <v>51</v>
      </c>
      <c r="E9" s="53" t="n">
        <v>119</v>
      </c>
      <c r="F9" s="21" t="n">
        <f aca="false">D9+E9</f>
        <v>170</v>
      </c>
      <c r="G9" s="53" t="n">
        <v>51</v>
      </c>
      <c r="H9" s="54" t="n">
        <f aca="false">IFERROR(G9/K9,0)</f>
        <v>0.698630136986301</v>
      </c>
      <c r="I9" s="53" t="n">
        <v>22</v>
      </c>
      <c r="J9" s="54" t="n">
        <f aca="false">IFERROR(I9/K9,0)</f>
        <v>0.301369863013699</v>
      </c>
      <c r="K9" s="21" t="n">
        <f aca="false">G9+I9</f>
        <v>73</v>
      </c>
      <c r="L9" s="21" t="n">
        <f aca="false">F9-K9</f>
        <v>97</v>
      </c>
      <c r="M9" s="53" t="n">
        <v>97</v>
      </c>
      <c r="N9" s="53" t="n">
        <v>0</v>
      </c>
      <c r="O9" s="53" t="n">
        <v>0</v>
      </c>
      <c r="P9" s="21" t="n">
        <f aca="false">SUM(N9:O9)</f>
        <v>0</v>
      </c>
      <c r="Q9" s="21" t="n">
        <f aca="false">L9-SUM(M9:O9)</f>
        <v>0</v>
      </c>
    </row>
    <row r="10" customFormat="false" ht="15" hidden="false" customHeight="false" outlineLevel="0" collapsed="false">
      <c r="A10" s="59"/>
      <c r="B10" s="28" t="s">
        <v>381</v>
      </c>
      <c r="C10" s="28"/>
      <c r="D10" s="30" t="n">
        <f aca="false">SUM(D5:INDEX(D:D,ROW()-1))</f>
        <v>235</v>
      </c>
      <c r="E10" s="30" t="n">
        <f aca="false">SUM(E5:INDEX(E:E,ROW()-1))</f>
        <v>495</v>
      </c>
      <c r="F10" s="30" t="n">
        <f aca="false">D10+E10</f>
        <v>730</v>
      </c>
      <c r="G10" s="30" t="n">
        <f aca="false">SUM(G5:INDEX(G:G,ROW()-1))</f>
        <v>287</v>
      </c>
      <c r="H10" s="60" t="n">
        <f aca="false">IFERROR(G10/K10,0)</f>
        <v>0.82</v>
      </c>
      <c r="I10" s="30" t="n">
        <f aca="false">SUM(I5:INDEX(I:I,ROW()-1))</f>
        <v>63</v>
      </c>
      <c r="J10" s="60" t="n">
        <f aca="false">IFERROR(I10/K10,0)</f>
        <v>0.18</v>
      </c>
      <c r="K10" s="30" t="n">
        <f aca="false">G10+I10</f>
        <v>350</v>
      </c>
      <c r="L10" s="30" t="n">
        <f aca="false">F10-K10</f>
        <v>380</v>
      </c>
      <c r="M10" s="30" t="n">
        <f aca="false">SUM(M5:INDEX(M:M,ROW()-1))</f>
        <v>380</v>
      </c>
      <c r="N10" s="30" t="n">
        <f aca="false">SUM(N5:INDEX(N:N,ROW()-1))</f>
        <v>0</v>
      </c>
      <c r="O10" s="30" t="n">
        <f aca="false">SUM(O5:INDEX(O:O,ROW()-1))</f>
        <v>0</v>
      </c>
      <c r="P10" s="30" t="n">
        <f aca="false">SUM(N10:O10)</f>
        <v>0</v>
      </c>
      <c r="Q10" s="30" t="n">
        <f aca="false">L10-SUM(M10:O10)</f>
        <v>0</v>
      </c>
    </row>
    <row r="12" customFormat="false" ht="15" hidden="false" customHeight="false" outlineLevel="0" collapsed="false">
      <c r="A12" s="49" t="s">
        <v>256</v>
      </c>
    </row>
  </sheetData>
  <mergeCells count="11">
    <mergeCell ref="A3:A4"/>
    <mergeCell ref="B3:B4"/>
    <mergeCell ref="C3:C4"/>
    <mergeCell ref="D3:D4"/>
    <mergeCell ref="E3:E4"/>
    <mergeCell ref="F3:F4"/>
    <mergeCell ref="G3:K3"/>
    <mergeCell ref="L3:L4"/>
    <mergeCell ref="M3:O3"/>
    <mergeCell ref="P3:P4"/>
    <mergeCell ref="Q3:Q4"/>
  </mergeCells>
  <conditionalFormatting sqref="Q5:Q10">
    <cfRule type="cellIs" priority="2" operator="notEqual" aboveAverage="0" equalAverage="0" bottom="0" percent="0" rank="0" text="" dxfId="6">
      <formula>0</formula>
    </cfRule>
  </conditionalFormatting>
  <conditionalFormatting sqref="P5:P10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17" min="3" style="0" width="11"/>
    <col collapsed="false" customWidth="true" hidden="false" outlineLevel="0" max="18" min="18" style="0" width="12"/>
    <col collapsed="false" customWidth="true" hidden="false" outlineLevel="0" max="19" min="19" style="0" width="16"/>
  </cols>
  <sheetData>
    <row r="1" customFormat="false" ht="16.15" hidden="false" customHeight="false" outlineLevel="0" collapsed="false">
      <c r="A1" s="48" t="s">
        <v>481</v>
      </c>
    </row>
    <row r="2" customFormat="false" ht="15" hidden="false" customHeight="false" outlineLevel="0" collapsed="false">
      <c r="A2" s="49" t="s">
        <v>478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482</v>
      </c>
      <c r="D3" s="19" t="s">
        <v>236</v>
      </c>
      <c r="E3" s="19" t="s">
        <v>11</v>
      </c>
      <c r="F3" s="19" t="s">
        <v>5</v>
      </c>
      <c r="G3" s="19"/>
      <c r="H3" s="19"/>
      <c r="I3" s="19"/>
      <c r="J3" s="19"/>
      <c r="K3" s="19" t="s">
        <v>6</v>
      </c>
      <c r="L3" s="19" t="s">
        <v>237</v>
      </c>
      <c r="M3" s="19"/>
      <c r="N3" s="19"/>
      <c r="O3" s="19"/>
      <c r="P3" s="19"/>
      <c r="Q3" s="19"/>
      <c r="R3" s="19" t="s">
        <v>134</v>
      </c>
      <c r="S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50" t="s">
        <v>483</v>
      </c>
      <c r="G4" s="50" t="s">
        <v>240</v>
      </c>
      <c r="H4" s="50" t="s">
        <v>241</v>
      </c>
      <c r="I4" s="50" t="s">
        <v>240</v>
      </c>
      <c r="J4" s="50" t="s">
        <v>242</v>
      </c>
      <c r="K4" s="19"/>
      <c r="L4" s="50" t="s">
        <v>484</v>
      </c>
      <c r="M4" s="50" t="s">
        <v>245</v>
      </c>
      <c r="N4" s="50" t="s">
        <v>387</v>
      </c>
      <c r="O4" s="50" t="s">
        <v>440</v>
      </c>
      <c r="P4" s="50" t="s">
        <v>485</v>
      </c>
      <c r="Q4" s="50" t="s">
        <v>486</v>
      </c>
      <c r="R4" s="19"/>
      <c r="S4" s="19"/>
    </row>
    <row r="5" customFormat="false" ht="15" hidden="false" customHeight="false" outlineLevel="0" collapsed="false">
      <c r="A5" s="51" t="n">
        <v>1</v>
      </c>
      <c r="B5" s="52" t="s">
        <v>246</v>
      </c>
      <c r="C5" s="53" t="n">
        <v>187</v>
      </c>
      <c r="D5" s="53" t="n">
        <v>72</v>
      </c>
      <c r="E5" s="21" t="n">
        <f aca="false">C5+D5</f>
        <v>259</v>
      </c>
      <c r="F5" s="53" t="n">
        <v>86</v>
      </c>
      <c r="G5" s="54" t="n">
        <f aca="false">IFERROR(F5/J5,0)</f>
        <v>0.803738317757009</v>
      </c>
      <c r="H5" s="53" t="n">
        <v>21</v>
      </c>
      <c r="I5" s="54" t="n">
        <f aca="false">IFERROR(H5/J5,0)</f>
        <v>0.196261682242991</v>
      </c>
      <c r="J5" s="21" t="n">
        <f aca="false">F5+H5</f>
        <v>107</v>
      </c>
      <c r="K5" s="21" t="n">
        <f aca="false">E5-J5</f>
        <v>152</v>
      </c>
      <c r="L5" s="53" t="n">
        <v>72</v>
      </c>
      <c r="M5" s="53" t="n">
        <v>72</v>
      </c>
      <c r="N5" s="53" t="n">
        <v>8</v>
      </c>
      <c r="O5" s="53" t="n">
        <v>0</v>
      </c>
      <c r="P5" s="53" t="n">
        <v>0</v>
      </c>
      <c r="Q5" s="53" t="n">
        <v>0</v>
      </c>
      <c r="R5" s="21" t="n">
        <f aca="false">SUM(M5:Q5)</f>
        <v>80</v>
      </c>
      <c r="S5" s="21" t="n">
        <f aca="false">K5-SUM(L5:Q5)</f>
        <v>0</v>
      </c>
    </row>
    <row r="6" customFormat="false" ht="15" hidden="false" customHeight="false" outlineLevel="0" collapsed="false">
      <c r="A6" s="55" t="n">
        <v>2</v>
      </c>
      <c r="B6" s="56" t="s">
        <v>247</v>
      </c>
      <c r="C6" s="57" t="n">
        <v>167</v>
      </c>
      <c r="D6" s="57" t="n">
        <v>83</v>
      </c>
      <c r="E6" s="26" t="n">
        <f aca="false">C6+D6</f>
        <v>250</v>
      </c>
      <c r="F6" s="57" t="n">
        <v>97</v>
      </c>
      <c r="G6" s="58" t="n">
        <f aca="false">IFERROR(F6/J6,0)</f>
        <v>0.898148148148148</v>
      </c>
      <c r="H6" s="57" t="n">
        <v>11</v>
      </c>
      <c r="I6" s="58" t="n">
        <f aca="false">IFERROR(H6/J6,0)</f>
        <v>0.101851851851852</v>
      </c>
      <c r="J6" s="26" t="n">
        <f aca="false">F6+H6</f>
        <v>108</v>
      </c>
      <c r="K6" s="26" t="n">
        <f aca="false">E6-J6</f>
        <v>142</v>
      </c>
      <c r="L6" s="57" t="n">
        <v>79</v>
      </c>
      <c r="M6" s="57" t="n">
        <v>63</v>
      </c>
      <c r="N6" s="57" t="n">
        <v>0</v>
      </c>
      <c r="O6" s="57" t="n">
        <v>0</v>
      </c>
      <c r="P6" s="57" t="n">
        <v>0</v>
      </c>
      <c r="Q6" s="57" t="n">
        <v>0</v>
      </c>
      <c r="R6" s="26" t="n">
        <f aca="false">SUM(M6:Q6)</f>
        <v>63</v>
      </c>
      <c r="S6" s="26" t="n">
        <f aca="false">K6-SUM(L6:Q6)</f>
        <v>0</v>
      </c>
    </row>
    <row r="7" customFormat="false" ht="15" hidden="false" customHeight="false" outlineLevel="0" collapsed="false">
      <c r="A7" s="51" t="n">
        <v>3</v>
      </c>
      <c r="B7" s="52" t="s">
        <v>248</v>
      </c>
      <c r="C7" s="53" t="n">
        <v>192</v>
      </c>
      <c r="D7" s="53" t="n">
        <v>100</v>
      </c>
      <c r="E7" s="21" t="n">
        <f aca="false">C7+D7</f>
        <v>292</v>
      </c>
      <c r="F7" s="53" t="n">
        <v>86</v>
      </c>
      <c r="G7" s="54" t="n">
        <f aca="false">IFERROR(F7/J7,0)</f>
        <v>0.86</v>
      </c>
      <c r="H7" s="53" t="n">
        <v>14</v>
      </c>
      <c r="I7" s="54" t="n">
        <f aca="false">IFERROR(H7/J7,0)</f>
        <v>0.14</v>
      </c>
      <c r="J7" s="21" t="n">
        <f aca="false">F7+H7</f>
        <v>100</v>
      </c>
      <c r="K7" s="21" t="n">
        <f aca="false">E7-J7</f>
        <v>192</v>
      </c>
      <c r="L7" s="53" t="n">
        <v>100</v>
      </c>
      <c r="M7" s="53" t="n">
        <v>92</v>
      </c>
      <c r="N7" s="53" t="n">
        <v>0</v>
      </c>
      <c r="O7" s="53" t="n">
        <v>0</v>
      </c>
      <c r="P7" s="53" t="n">
        <v>0</v>
      </c>
      <c r="Q7" s="53" t="n">
        <v>0</v>
      </c>
      <c r="R7" s="21" t="n">
        <f aca="false">SUM(M7:Q7)</f>
        <v>92</v>
      </c>
      <c r="S7" s="21" t="n">
        <f aca="false">K7-SUM(L7:Q7)</f>
        <v>0</v>
      </c>
    </row>
    <row r="8" customFormat="false" ht="15" hidden="false" customHeight="false" outlineLevel="0" collapsed="false">
      <c r="A8" s="55" t="n">
        <v>4</v>
      </c>
      <c r="B8" s="56" t="s">
        <v>249</v>
      </c>
      <c r="C8" s="57" t="n">
        <v>143</v>
      </c>
      <c r="D8" s="57" t="n">
        <v>74</v>
      </c>
      <c r="E8" s="26" t="n">
        <f aca="false">C8+D8</f>
        <v>217</v>
      </c>
      <c r="F8" s="57" t="n">
        <v>67</v>
      </c>
      <c r="G8" s="58" t="n">
        <f aca="false">IFERROR(F8/J8,0)</f>
        <v>0.858974358974359</v>
      </c>
      <c r="H8" s="57" t="n">
        <v>11</v>
      </c>
      <c r="I8" s="58" t="n">
        <f aca="false">IFERROR(H8/J8,0)</f>
        <v>0.141025641025641</v>
      </c>
      <c r="J8" s="26" t="n">
        <f aca="false">F8+H8</f>
        <v>78</v>
      </c>
      <c r="K8" s="26" t="n">
        <f aca="false">E8-J8</f>
        <v>139</v>
      </c>
      <c r="L8" s="57" t="n">
        <v>73</v>
      </c>
      <c r="M8" s="57" t="n">
        <v>64</v>
      </c>
      <c r="N8" s="57" t="n">
        <v>2</v>
      </c>
      <c r="O8" s="57" t="n">
        <v>0</v>
      </c>
      <c r="P8" s="57" t="n">
        <v>0</v>
      </c>
      <c r="Q8" s="57" t="n">
        <v>0</v>
      </c>
      <c r="R8" s="26" t="n">
        <f aca="false">SUM(M8:Q8)</f>
        <v>66</v>
      </c>
      <c r="S8" s="26" t="n">
        <f aca="false">K8-SUM(L8:Q8)</f>
        <v>0</v>
      </c>
    </row>
    <row r="9" customFormat="false" ht="15" hidden="false" customHeight="false" outlineLevel="0" collapsed="false">
      <c r="A9" s="51" t="n">
        <v>5</v>
      </c>
      <c r="B9" s="52" t="s">
        <v>250</v>
      </c>
      <c r="C9" s="53" t="n">
        <v>228</v>
      </c>
      <c r="D9" s="53" t="n">
        <v>125</v>
      </c>
      <c r="E9" s="21" t="n">
        <f aca="false">C9+D9</f>
        <v>353</v>
      </c>
      <c r="F9" s="53" t="n">
        <v>128</v>
      </c>
      <c r="G9" s="54" t="n">
        <f aca="false">IFERROR(F9/J9,0)</f>
        <v>0.962406015037594</v>
      </c>
      <c r="H9" s="53" t="n">
        <v>5</v>
      </c>
      <c r="I9" s="54" t="n">
        <f aca="false">IFERROR(H9/J9,0)</f>
        <v>0.037593984962406</v>
      </c>
      <c r="J9" s="21" t="n">
        <f aca="false">F9+H9</f>
        <v>133</v>
      </c>
      <c r="K9" s="21" t="n">
        <f aca="false">E9-J9</f>
        <v>220</v>
      </c>
      <c r="L9" s="53" t="n">
        <v>117</v>
      </c>
      <c r="M9" s="53" t="n">
        <v>102</v>
      </c>
      <c r="N9" s="53" t="n">
        <v>1</v>
      </c>
      <c r="O9" s="53" t="n">
        <v>0</v>
      </c>
      <c r="P9" s="53" t="n">
        <v>0</v>
      </c>
      <c r="Q9" s="53" t="n">
        <v>0</v>
      </c>
      <c r="R9" s="21" t="n">
        <f aca="false">SUM(M9:Q9)</f>
        <v>103</v>
      </c>
      <c r="S9" s="21" t="n">
        <f aca="false">K9-SUM(L9:Q9)</f>
        <v>0</v>
      </c>
    </row>
    <row r="10" customFormat="false" ht="15" hidden="false" customHeight="false" outlineLevel="0" collapsed="false">
      <c r="A10" s="55" t="n">
        <v>6</v>
      </c>
      <c r="B10" s="56" t="s">
        <v>251</v>
      </c>
      <c r="C10" s="57" t="n">
        <v>245</v>
      </c>
      <c r="D10" s="57" t="n">
        <v>128</v>
      </c>
      <c r="E10" s="26" t="n">
        <f aca="false">C10+D10</f>
        <v>373</v>
      </c>
      <c r="F10" s="57" t="n">
        <v>95</v>
      </c>
      <c r="G10" s="58" t="n">
        <f aca="false">IFERROR(F10/J10,0)</f>
        <v>0.7421875</v>
      </c>
      <c r="H10" s="57" t="n">
        <v>33</v>
      </c>
      <c r="I10" s="58" t="n">
        <f aca="false">IFERROR(H10/J10,0)</f>
        <v>0.2578125</v>
      </c>
      <c r="J10" s="26" t="n">
        <f aca="false">F10+H10</f>
        <v>128</v>
      </c>
      <c r="K10" s="26" t="n">
        <f aca="false">E10-J10</f>
        <v>245</v>
      </c>
      <c r="L10" s="57" t="n">
        <v>128</v>
      </c>
      <c r="M10" s="57" t="n">
        <v>115</v>
      </c>
      <c r="N10" s="57" t="n">
        <v>2</v>
      </c>
      <c r="O10" s="57" t="n">
        <v>0</v>
      </c>
      <c r="P10" s="57" t="n">
        <v>0</v>
      </c>
      <c r="Q10" s="57" t="n">
        <v>0</v>
      </c>
      <c r="R10" s="26" t="n">
        <f aca="false">SUM(M10:Q10)</f>
        <v>117</v>
      </c>
      <c r="S10" s="26" t="n">
        <f aca="false">K10-SUM(L10:Q10)</f>
        <v>0</v>
      </c>
    </row>
    <row r="11" customFormat="false" ht="15" hidden="false" customHeight="false" outlineLevel="0" collapsed="false">
      <c r="A11" s="51" t="n">
        <v>7</v>
      </c>
      <c r="B11" s="52" t="s">
        <v>252</v>
      </c>
      <c r="C11" s="53" t="n">
        <v>118</v>
      </c>
      <c r="D11" s="53" t="n">
        <v>71</v>
      </c>
      <c r="E11" s="21" t="n">
        <f aca="false">C11+D11</f>
        <v>189</v>
      </c>
      <c r="F11" s="53" t="n">
        <v>68</v>
      </c>
      <c r="G11" s="54" t="n">
        <f aca="false">IFERROR(F11/J11,0)</f>
        <v>0.971428571428571</v>
      </c>
      <c r="H11" s="53" t="n">
        <v>2</v>
      </c>
      <c r="I11" s="54" t="n">
        <f aca="false">IFERROR(H11/J11,0)</f>
        <v>0.0285714285714286</v>
      </c>
      <c r="J11" s="21" t="n">
        <f aca="false">F11+H11</f>
        <v>70</v>
      </c>
      <c r="K11" s="21" t="n">
        <f aca="false">E11-J11</f>
        <v>119</v>
      </c>
      <c r="L11" s="53" t="n">
        <v>66</v>
      </c>
      <c r="M11" s="53" t="n">
        <v>53</v>
      </c>
      <c r="N11" s="53" t="n">
        <v>0</v>
      </c>
      <c r="O11" s="53" t="n">
        <v>0</v>
      </c>
      <c r="P11" s="53" t="n">
        <v>0</v>
      </c>
      <c r="Q11" s="53" t="n">
        <v>0</v>
      </c>
      <c r="R11" s="21" t="n">
        <f aca="false">SUM(M11:Q11)</f>
        <v>53</v>
      </c>
      <c r="S11" s="21" t="n">
        <f aca="false">K11-SUM(L11:Q11)</f>
        <v>0</v>
      </c>
    </row>
    <row r="12" customFormat="false" ht="15" hidden="false" customHeight="false" outlineLevel="0" collapsed="false">
      <c r="A12" s="55" t="n">
        <v>8</v>
      </c>
      <c r="B12" s="56" t="s">
        <v>253</v>
      </c>
      <c r="C12" s="57" t="n">
        <v>392</v>
      </c>
      <c r="D12" s="57" t="n">
        <v>92</v>
      </c>
      <c r="E12" s="26" t="n">
        <f aca="false">C12+D12</f>
        <v>484</v>
      </c>
      <c r="F12" s="57" t="n">
        <v>203</v>
      </c>
      <c r="G12" s="58" t="n">
        <f aca="false">IFERROR(F12/J12,0)</f>
        <v>0.926940639269406</v>
      </c>
      <c r="H12" s="57" t="n">
        <v>16</v>
      </c>
      <c r="I12" s="58" t="n">
        <f aca="false">IFERROR(H12/J12,0)</f>
        <v>0.0730593607305936</v>
      </c>
      <c r="J12" s="26" t="n">
        <f aca="false">F12+H12</f>
        <v>219</v>
      </c>
      <c r="K12" s="26" t="n">
        <f aca="false">E12-J12</f>
        <v>265</v>
      </c>
      <c r="L12" s="57" t="n">
        <v>91</v>
      </c>
      <c r="M12" s="57" t="n">
        <v>135</v>
      </c>
      <c r="N12" s="57" t="n">
        <v>39</v>
      </c>
      <c r="O12" s="57" t="n">
        <v>0</v>
      </c>
      <c r="P12" s="57" t="n">
        <v>0</v>
      </c>
      <c r="Q12" s="57" t="n">
        <v>0</v>
      </c>
      <c r="R12" s="26" t="n">
        <f aca="false">SUM(M12:Q12)</f>
        <v>174</v>
      </c>
      <c r="S12" s="26" t="n">
        <f aca="false">K12-SUM(L12:Q12)</f>
        <v>0</v>
      </c>
    </row>
    <row r="13" customFormat="false" ht="15" hidden="false" customHeight="false" outlineLevel="0" collapsed="false">
      <c r="A13" s="51" t="n">
        <v>9</v>
      </c>
      <c r="B13" s="52" t="s">
        <v>254</v>
      </c>
      <c r="C13" s="53" t="n">
        <v>178</v>
      </c>
      <c r="D13" s="53" t="n">
        <v>72</v>
      </c>
      <c r="E13" s="21" t="n">
        <f aca="false">C13+D13</f>
        <v>250</v>
      </c>
      <c r="F13" s="53" t="n">
        <v>113</v>
      </c>
      <c r="G13" s="54" t="n">
        <f aca="false">IFERROR(F13/J13,0)</f>
        <v>0.974137931034483</v>
      </c>
      <c r="H13" s="53" t="n">
        <v>3</v>
      </c>
      <c r="I13" s="54" t="n">
        <f aca="false">IFERROR(H13/J13,0)</f>
        <v>0.0258620689655172</v>
      </c>
      <c r="J13" s="21" t="n">
        <f aca="false">F13+H13</f>
        <v>116</v>
      </c>
      <c r="K13" s="21" t="n">
        <f aca="false">E13-J13</f>
        <v>134</v>
      </c>
      <c r="L13" s="53" t="n">
        <v>68</v>
      </c>
      <c r="M13" s="53" t="n">
        <v>61</v>
      </c>
      <c r="N13" s="53" t="n">
        <v>5</v>
      </c>
      <c r="O13" s="53" t="n">
        <v>0</v>
      </c>
      <c r="P13" s="53" t="n">
        <v>0</v>
      </c>
      <c r="Q13" s="53" t="n">
        <v>0</v>
      </c>
      <c r="R13" s="21" t="n">
        <f aca="false">SUM(M13:Q13)</f>
        <v>66</v>
      </c>
      <c r="S13" s="21" t="n">
        <f aca="false">K13-SUM(L13:Q13)</f>
        <v>0</v>
      </c>
    </row>
    <row r="14" customFormat="false" ht="15" hidden="false" customHeight="false" outlineLevel="0" collapsed="false">
      <c r="A14" s="55" t="n">
        <v>10</v>
      </c>
      <c r="B14" s="56" t="s">
        <v>255</v>
      </c>
      <c r="C14" s="57" t="n">
        <v>385</v>
      </c>
      <c r="D14" s="57" t="n">
        <v>153</v>
      </c>
      <c r="E14" s="26" t="n">
        <f aca="false">C14+D14</f>
        <v>538</v>
      </c>
      <c r="F14" s="57" t="n">
        <v>169</v>
      </c>
      <c r="G14" s="58" t="n">
        <f aca="false">IFERROR(F14/J14,0)</f>
        <v>0.849246231155779</v>
      </c>
      <c r="H14" s="57" t="n">
        <v>30</v>
      </c>
      <c r="I14" s="58" t="n">
        <f aca="false">IFERROR(H14/J14,0)</f>
        <v>0.150753768844221</v>
      </c>
      <c r="J14" s="26" t="n">
        <f aca="false">F14+H14</f>
        <v>199</v>
      </c>
      <c r="K14" s="26" t="n">
        <f aca="false">E14-J14</f>
        <v>339</v>
      </c>
      <c r="L14" s="57" t="n">
        <v>148</v>
      </c>
      <c r="M14" s="57" t="n">
        <v>189</v>
      </c>
      <c r="N14" s="57" t="n">
        <v>2</v>
      </c>
      <c r="O14" s="57" t="n">
        <v>0</v>
      </c>
      <c r="P14" s="57" t="n">
        <v>0</v>
      </c>
      <c r="Q14" s="57" t="n">
        <v>0</v>
      </c>
      <c r="R14" s="26" t="n">
        <f aca="false">SUM(M14:Q14)</f>
        <v>191</v>
      </c>
      <c r="S14" s="26" t="n">
        <f aca="false">K14-SUM(L14:Q14)</f>
        <v>0</v>
      </c>
    </row>
    <row r="15" customFormat="false" ht="15" hidden="false" customHeight="false" outlineLevel="0" collapsed="false">
      <c r="A15" s="59"/>
      <c r="B15" s="28" t="s">
        <v>11</v>
      </c>
      <c r="C15" s="30" t="n">
        <f aca="false">SUM(C5:INDEX(C:C,ROW()-1))</f>
        <v>2235</v>
      </c>
      <c r="D15" s="30" t="n">
        <f aca="false">SUM(D5:INDEX(D:D,ROW()-1))</f>
        <v>970</v>
      </c>
      <c r="E15" s="30" t="n">
        <f aca="false">C15+D15</f>
        <v>3205</v>
      </c>
      <c r="F15" s="30" t="n">
        <f aca="false">SUM(F5:INDEX(F:F,ROW()-1))</f>
        <v>1112</v>
      </c>
      <c r="G15" s="60" t="n">
        <f aca="false">IFERROR(F15/J15,0)</f>
        <v>0.883942766295707</v>
      </c>
      <c r="H15" s="30" t="n">
        <f aca="false">SUM(H5:INDEX(H:H,ROW()-1))</f>
        <v>146</v>
      </c>
      <c r="I15" s="60" t="n">
        <f aca="false">IFERROR(H15/J15,0)</f>
        <v>0.116057233704293</v>
      </c>
      <c r="J15" s="30" t="n">
        <f aca="false">F15+H15</f>
        <v>1258</v>
      </c>
      <c r="K15" s="30" t="n">
        <f aca="false">E15-J15</f>
        <v>1947</v>
      </c>
      <c r="L15" s="30" t="n">
        <f aca="false">SUM(L5:INDEX(L:L,ROW()-1))</f>
        <v>942</v>
      </c>
      <c r="M15" s="30" t="n">
        <f aca="false">SUM(M5:INDEX(M:M,ROW()-1))</f>
        <v>946</v>
      </c>
      <c r="N15" s="30" t="n">
        <f aca="false">SUM(N5:INDEX(N:N,ROW()-1))</f>
        <v>59</v>
      </c>
      <c r="O15" s="30" t="n">
        <f aca="false">SUM(O5:INDEX(O:O,ROW()-1))</f>
        <v>0</v>
      </c>
      <c r="P15" s="30" t="n">
        <f aca="false">SUM(P5:INDEX(P:P,ROW()-1))</f>
        <v>0</v>
      </c>
      <c r="Q15" s="30" t="n">
        <f aca="false">SUM(Q5:INDEX(Q:Q,ROW()-1))</f>
        <v>0</v>
      </c>
      <c r="R15" s="30" t="n">
        <f aca="false">SUM(M15:Q15)</f>
        <v>1005</v>
      </c>
      <c r="S15" s="30" t="n">
        <f aca="false">K15-SUM(L15:Q15)</f>
        <v>0</v>
      </c>
    </row>
    <row r="17" customFormat="false" ht="15" hidden="false" customHeight="false" outlineLevel="0" collapsed="false">
      <c r="A17" s="49" t="s">
        <v>256</v>
      </c>
    </row>
  </sheetData>
  <mergeCells count="10">
    <mergeCell ref="A3:A4"/>
    <mergeCell ref="B3:B4"/>
    <mergeCell ref="C3:C4"/>
    <mergeCell ref="D3:D4"/>
    <mergeCell ref="E3:E4"/>
    <mergeCell ref="F3:J3"/>
    <mergeCell ref="K3:K4"/>
    <mergeCell ref="L3:Q3"/>
    <mergeCell ref="R3:R4"/>
    <mergeCell ref="S3:S4"/>
  </mergeCells>
  <conditionalFormatting sqref="S5:S15">
    <cfRule type="cellIs" priority="2" operator="notEqual" aboveAverage="0" equalAverage="0" bottom="0" percent="0" rank="0" text="" dxfId="6">
      <formula>0</formula>
    </cfRule>
  </conditionalFormatting>
  <conditionalFormatting sqref="R5:R15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17" min="3" style="0" width="11"/>
    <col collapsed="false" customWidth="true" hidden="false" outlineLevel="0" max="18" min="18" style="0" width="12"/>
    <col collapsed="false" customWidth="true" hidden="false" outlineLevel="0" max="19" min="19" style="0" width="16"/>
  </cols>
  <sheetData>
    <row r="1" customFormat="false" ht="16.15" hidden="false" customHeight="false" outlineLevel="0" collapsed="false">
      <c r="A1" s="48" t="s">
        <v>487</v>
      </c>
    </row>
    <row r="2" customFormat="false" ht="15" hidden="false" customHeight="false" outlineLevel="0" collapsed="false">
      <c r="A2" s="49" t="s">
        <v>478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482</v>
      </c>
      <c r="D3" s="19" t="s">
        <v>236</v>
      </c>
      <c r="E3" s="19" t="s">
        <v>11</v>
      </c>
      <c r="F3" s="19" t="s">
        <v>5</v>
      </c>
      <c r="G3" s="19"/>
      <c r="H3" s="19"/>
      <c r="I3" s="19"/>
      <c r="J3" s="19"/>
      <c r="K3" s="19" t="s">
        <v>6</v>
      </c>
      <c r="L3" s="19" t="s">
        <v>237</v>
      </c>
      <c r="M3" s="19"/>
      <c r="N3" s="19"/>
      <c r="O3" s="19"/>
      <c r="P3" s="19"/>
      <c r="Q3" s="19"/>
      <c r="R3" s="19" t="s">
        <v>134</v>
      </c>
      <c r="S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50" t="s">
        <v>483</v>
      </c>
      <c r="G4" s="50" t="s">
        <v>240</v>
      </c>
      <c r="H4" s="50" t="s">
        <v>241</v>
      </c>
      <c r="I4" s="50" t="s">
        <v>240</v>
      </c>
      <c r="J4" s="50" t="s">
        <v>242</v>
      </c>
      <c r="K4" s="19"/>
      <c r="L4" s="50" t="s">
        <v>484</v>
      </c>
      <c r="M4" s="50" t="s">
        <v>245</v>
      </c>
      <c r="N4" s="50" t="s">
        <v>387</v>
      </c>
      <c r="O4" s="50" t="s">
        <v>440</v>
      </c>
      <c r="P4" s="50" t="s">
        <v>485</v>
      </c>
      <c r="Q4" s="50" t="s">
        <v>486</v>
      </c>
      <c r="R4" s="19"/>
      <c r="S4" s="19"/>
    </row>
    <row r="5" customFormat="false" ht="15" hidden="false" customHeight="false" outlineLevel="0" collapsed="false">
      <c r="A5" s="51" t="n">
        <v>1</v>
      </c>
      <c r="B5" s="52" t="s">
        <v>246</v>
      </c>
      <c r="C5" s="53" t="n">
        <v>134</v>
      </c>
      <c r="D5" s="53" t="n">
        <v>43</v>
      </c>
      <c r="E5" s="21" t="n">
        <f aca="false">C5+D5</f>
        <v>177</v>
      </c>
      <c r="F5" s="53" t="n">
        <v>49</v>
      </c>
      <c r="G5" s="54" t="n">
        <f aca="false">IFERROR(F5/J5,0)</f>
        <v>0.742424242424242</v>
      </c>
      <c r="H5" s="53" t="n">
        <v>17</v>
      </c>
      <c r="I5" s="54" t="n">
        <f aca="false">IFERROR(H5/J5,0)</f>
        <v>0.257575757575758</v>
      </c>
      <c r="J5" s="21" t="n">
        <f aca="false">F5+H5</f>
        <v>66</v>
      </c>
      <c r="K5" s="21" t="n">
        <f aca="false">E5-J5</f>
        <v>111</v>
      </c>
      <c r="L5" s="53" t="n">
        <v>43</v>
      </c>
      <c r="M5" s="53" t="n">
        <v>66</v>
      </c>
      <c r="N5" s="53" t="n">
        <v>2</v>
      </c>
      <c r="O5" s="53" t="n">
        <v>0</v>
      </c>
      <c r="P5" s="53" t="n">
        <v>0</v>
      </c>
      <c r="Q5" s="53" t="n">
        <v>0</v>
      </c>
      <c r="R5" s="21" t="n">
        <f aca="false">SUM(M5:Q5)</f>
        <v>68</v>
      </c>
      <c r="S5" s="21" t="n">
        <f aca="false">K5-SUM(L5:Q5)</f>
        <v>0</v>
      </c>
    </row>
    <row r="6" customFormat="false" ht="15" hidden="false" customHeight="false" outlineLevel="0" collapsed="false">
      <c r="A6" s="55" t="n">
        <v>2</v>
      </c>
      <c r="B6" s="56" t="s">
        <v>247</v>
      </c>
      <c r="C6" s="57" t="n">
        <v>83</v>
      </c>
      <c r="D6" s="57" t="n">
        <v>57</v>
      </c>
      <c r="E6" s="26" t="n">
        <f aca="false">C6+D6</f>
        <v>140</v>
      </c>
      <c r="F6" s="57" t="n">
        <v>50</v>
      </c>
      <c r="G6" s="58" t="n">
        <f aca="false">IFERROR(F6/J6,0)</f>
        <v>0.961538461538462</v>
      </c>
      <c r="H6" s="57" t="n">
        <v>2</v>
      </c>
      <c r="I6" s="58" t="n">
        <f aca="false">IFERROR(H6/J6,0)</f>
        <v>0.0384615384615385</v>
      </c>
      <c r="J6" s="26" t="n">
        <f aca="false">F6+H6</f>
        <v>52</v>
      </c>
      <c r="K6" s="26" t="n">
        <f aca="false">E6-J6</f>
        <v>88</v>
      </c>
      <c r="L6" s="57" t="n">
        <v>55</v>
      </c>
      <c r="M6" s="57" t="n">
        <v>33</v>
      </c>
      <c r="N6" s="57" t="n">
        <v>0</v>
      </c>
      <c r="O6" s="57" t="n">
        <v>0</v>
      </c>
      <c r="P6" s="57" t="n">
        <v>0</v>
      </c>
      <c r="Q6" s="57" t="n">
        <v>0</v>
      </c>
      <c r="R6" s="26" t="n">
        <f aca="false">SUM(M6:Q6)</f>
        <v>33</v>
      </c>
      <c r="S6" s="26" t="n">
        <f aca="false">K6-SUM(L6:Q6)</f>
        <v>0</v>
      </c>
    </row>
    <row r="7" customFormat="false" ht="15" hidden="false" customHeight="false" outlineLevel="0" collapsed="false">
      <c r="A7" s="51" t="n">
        <v>3</v>
      </c>
      <c r="B7" s="52" t="s">
        <v>248</v>
      </c>
      <c r="C7" s="53" t="n">
        <v>109</v>
      </c>
      <c r="D7" s="53" t="n">
        <v>57</v>
      </c>
      <c r="E7" s="21" t="n">
        <f aca="false">C7+D7</f>
        <v>166</v>
      </c>
      <c r="F7" s="53" t="n">
        <v>62</v>
      </c>
      <c r="G7" s="54" t="n">
        <f aca="false">IFERROR(F7/J7,0)</f>
        <v>0.885714285714286</v>
      </c>
      <c r="H7" s="53" t="n">
        <v>8</v>
      </c>
      <c r="I7" s="54" t="n">
        <f aca="false">IFERROR(H7/J7,0)</f>
        <v>0.114285714285714</v>
      </c>
      <c r="J7" s="21" t="n">
        <f aca="false">F7+H7</f>
        <v>70</v>
      </c>
      <c r="K7" s="21" t="n">
        <f aca="false">E7-J7</f>
        <v>96</v>
      </c>
      <c r="L7" s="53" t="n">
        <v>57</v>
      </c>
      <c r="M7" s="53" t="n">
        <v>38</v>
      </c>
      <c r="N7" s="53" t="n">
        <v>1</v>
      </c>
      <c r="O7" s="53" t="n">
        <v>0</v>
      </c>
      <c r="P7" s="53" t="n">
        <v>0</v>
      </c>
      <c r="Q7" s="53" t="n">
        <v>0</v>
      </c>
      <c r="R7" s="21" t="n">
        <f aca="false">SUM(M7:Q7)</f>
        <v>39</v>
      </c>
      <c r="S7" s="21" t="n">
        <f aca="false">K7-SUM(L7:Q7)</f>
        <v>0</v>
      </c>
    </row>
    <row r="8" customFormat="false" ht="15" hidden="false" customHeight="false" outlineLevel="0" collapsed="false">
      <c r="A8" s="55" t="n">
        <v>4</v>
      </c>
      <c r="B8" s="56" t="s">
        <v>249</v>
      </c>
      <c r="C8" s="57" t="n">
        <v>87</v>
      </c>
      <c r="D8" s="57" t="n">
        <v>39</v>
      </c>
      <c r="E8" s="26" t="n">
        <f aca="false">C8+D8</f>
        <v>126</v>
      </c>
      <c r="F8" s="57" t="n">
        <v>43</v>
      </c>
      <c r="G8" s="58" t="n">
        <f aca="false">IFERROR(F8/J8,0)</f>
        <v>0.934782608695652</v>
      </c>
      <c r="H8" s="57" t="n">
        <v>3</v>
      </c>
      <c r="I8" s="58" t="n">
        <f aca="false">IFERROR(H8/J8,0)</f>
        <v>0.0652173913043478</v>
      </c>
      <c r="J8" s="26" t="n">
        <f aca="false">F8+H8</f>
        <v>46</v>
      </c>
      <c r="K8" s="26" t="n">
        <f aca="false">E8-J8</f>
        <v>80</v>
      </c>
      <c r="L8" s="57" t="n">
        <v>38</v>
      </c>
      <c r="M8" s="57" t="n">
        <v>41</v>
      </c>
      <c r="N8" s="57" t="n">
        <v>1</v>
      </c>
      <c r="O8" s="57" t="n">
        <v>0</v>
      </c>
      <c r="P8" s="57" t="n">
        <v>0</v>
      </c>
      <c r="Q8" s="57" t="n">
        <v>0</v>
      </c>
      <c r="R8" s="26" t="n">
        <f aca="false">SUM(M8:Q8)</f>
        <v>42</v>
      </c>
      <c r="S8" s="26" t="n">
        <f aca="false">K8-SUM(L8:Q8)</f>
        <v>0</v>
      </c>
    </row>
    <row r="9" customFormat="false" ht="15" hidden="false" customHeight="false" outlineLevel="0" collapsed="false">
      <c r="A9" s="51" t="n">
        <v>5</v>
      </c>
      <c r="B9" s="52" t="s">
        <v>250</v>
      </c>
      <c r="C9" s="53" t="n">
        <v>83</v>
      </c>
      <c r="D9" s="53" t="n">
        <v>71</v>
      </c>
      <c r="E9" s="21" t="n">
        <f aca="false">C9+D9</f>
        <v>154</v>
      </c>
      <c r="F9" s="53" t="n">
        <v>54</v>
      </c>
      <c r="G9" s="54" t="n">
        <f aca="false">IFERROR(F9/J9,0)</f>
        <v>0.964285714285714</v>
      </c>
      <c r="H9" s="53" t="n">
        <v>2</v>
      </c>
      <c r="I9" s="54" t="n">
        <f aca="false">IFERROR(H9/J9,0)</f>
        <v>0.0357142857142857</v>
      </c>
      <c r="J9" s="21" t="n">
        <f aca="false">F9+H9</f>
        <v>56</v>
      </c>
      <c r="K9" s="21" t="n">
        <f aca="false">E9-J9</f>
        <v>98</v>
      </c>
      <c r="L9" s="53" t="n">
        <v>64</v>
      </c>
      <c r="M9" s="53" t="n">
        <v>33</v>
      </c>
      <c r="N9" s="53" t="n">
        <v>1</v>
      </c>
      <c r="O9" s="53" t="n">
        <v>0</v>
      </c>
      <c r="P9" s="53" t="n">
        <v>0</v>
      </c>
      <c r="Q9" s="53" t="n">
        <v>0</v>
      </c>
      <c r="R9" s="21" t="n">
        <f aca="false">SUM(M9:Q9)</f>
        <v>34</v>
      </c>
      <c r="S9" s="21" t="n">
        <f aca="false">K9-SUM(L9:Q9)</f>
        <v>0</v>
      </c>
    </row>
    <row r="10" customFormat="false" ht="15" hidden="false" customHeight="false" outlineLevel="0" collapsed="false">
      <c r="A10" s="55" t="n">
        <v>6</v>
      </c>
      <c r="B10" s="56" t="s">
        <v>251</v>
      </c>
      <c r="C10" s="57" t="n">
        <v>140</v>
      </c>
      <c r="D10" s="57" t="n">
        <v>64</v>
      </c>
      <c r="E10" s="26" t="n">
        <f aca="false">C10+D10</f>
        <v>204</v>
      </c>
      <c r="F10" s="57" t="n">
        <v>57</v>
      </c>
      <c r="G10" s="58" t="n">
        <f aca="false">IFERROR(F10/J10,0)</f>
        <v>0.730769230769231</v>
      </c>
      <c r="H10" s="57" t="n">
        <v>21</v>
      </c>
      <c r="I10" s="58" t="n">
        <f aca="false">IFERROR(H10/J10,0)</f>
        <v>0.269230769230769</v>
      </c>
      <c r="J10" s="26" t="n">
        <f aca="false">F10+H10</f>
        <v>78</v>
      </c>
      <c r="K10" s="26" t="n">
        <f aca="false">E10-J10</f>
        <v>126</v>
      </c>
      <c r="L10" s="57" t="n">
        <v>64</v>
      </c>
      <c r="M10" s="57" t="n">
        <v>62</v>
      </c>
      <c r="N10" s="57" t="n">
        <v>0</v>
      </c>
      <c r="O10" s="57" t="n">
        <v>0</v>
      </c>
      <c r="P10" s="57" t="n">
        <v>0</v>
      </c>
      <c r="Q10" s="57" t="n">
        <v>0</v>
      </c>
      <c r="R10" s="26" t="n">
        <f aca="false">SUM(M10:Q10)</f>
        <v>62</v>
      </c>
      <c r="S10" s="26" t="n">
        <f aca="false">K10-SUM(L10:Q10)</f>
        <v>0</v>
      </c>
    </row>
    <row r="11" customFormat="false" ht="15" hidden="false" customHeight="false" outlineLevel="0" collapsed="false">
      <c r="A11" s="51" t="n">
        <v>7</v>
      </c>
      <c r="B11" s="52" t="s">
        <v>252</v>
      </c>
      <c r="C11" s="53" t="n">
        <v>54</v>
      </c>
      <c r="D11" s="53" t="n">
        <v>44</v>
      </c>
      <c r="E11" s="21" t="n">
        <f aca="false">C11+D11</f>
        <v>98</v>
      </c>
      <c r="F11" s="53" t="n">
        <v>34</v>
      </c>
      <c r="G11" s="54" t="n">
        <f aca="false">IFERROR(F11/J11,0)</f>
        <v>1</v>
      </c>
      <c r="H11" s="53" t="n">
        <v>0</v>
      </c>
      <c r="I11" s="54" t="n">
        <f aca="false">IFERROR(H11/J11,0)</f>
        <v>0</v>
      </c>
      <c r="J11" s="21" t="n">
        <f aca="false">F11+H11</f>
        <v>34</v>
      </c>
      <c r="K11" s="21" t="n">
        <f aca="false">E11-J11</f>
        <v>64</v>
      </c>
      <c r="L11" s="53" t="n">
        <v>43</v>
      </c>
      <c r="M11" s="53" t="n">
        <v>21</v>
      </c>
      <c r="N11" s="53" t="n">
        <v>0</v>
      </c>
      <c r="O11" s="53" t="n">
        <v>0</v>
      </c>
      <c r="P11" s="53" t="n">
        <v>0</v>
      </c>
      <c r="Q11" s="53" t="n">
        <v>0</v>
      </c>
      <c r="R11" s="21" t="n">
        <f aca="false">SUM(M11:Q11)</f>
        <v>21</v>
      </c>
      <c r="S11" s="21" t="n">
        <f aca="false">K11-SUM(L11:Q11)</f>
        <v>0</v>
      </c>
    </row>
    <row r="12" customFormat="false" ht="15" hidden="false" customHeight="false" outlineLevel="0" collapsed="false">
      <c r="A12" s="55" t="n">
        <v>8</v>
      </c>
      <c r="B12" s="56" t="s">
        <v>253</v>
      </c>
      <c r="C12" s="57" t="n">
        <v>154</v>
      </c>
      <c r="D12" s="57" t="n">
        <v>51</v>
      </c>
      <c r="E12" s="26" t="n">
        <f aca="false">C12+D12</f>
        <v>205</v>
      </c>
      <c r="F12" s="57" t="n">
        <v>68</v>
      </c>
      <c r="G12" s="58" t="n">
        <f aca="false">IFERROR(F12/J12,0)</f>
        <v>0.894736842105263</v>
      </c>
      <c r="H12" s="57" t="n">
        <v>8</v>
      </c>
      <c r="I12" s="58" t="n">
        <f aca="false">IFERROR(H12/J12,0)</f>
        <v>0.105263157894737</v>
      </c>
      <c r="J12" s="26" t="n">
        <f aca="false">F12+H12</f>
        <v>76</v>
      </c>
      <c r="K12" s="26" t="n">
        <f aca="false">E12-J12</f>
        <v>129</v>
      </c>
      <c r="L12" s="57" t="n">
        <v>51</v>
      </c>
      <c r="M12" s="57" t="n">
        <v>48</v>
      </c>
      <c r="N12" s="57" t="n">
        <v>30</v>
      </c>
      <c r="O12" s="57" t="n">
        <v>0</v>
      </c>
      <c r="P12" s="57" t="n">
        <v>0</v>
      </c>
      <c r="Q12" s="57" t="n">
        <v>0</v>
      </c>
      <c r="R12" s="26" t="n">
        <f aca="false">SUM(M12:Q12)</f>
        <v>78</v>
      </c>
      <c r="S12" s="26" t="n">
        <f aca="false">K12-SUM(L12:Q12)</f>
        <v>0</v>
      </c>
    </row>
    <row r="13" customFormat="false" ht="15" hidden="false" customHeight="false" outlineLevel="0" collapsed="false">
      <c r="A13" s="51" t="n">
        <v>9</v>
      </c>
      <c r="B13" s="52" t="s">
        <v>254</v>
      </c>
      <c r="C13" s="53" t="n">
        <v>57</v>
      </c>
      <c r="D13" s="53" t="n">
        <v>35</v>
      </c>
      <c r="E13" s="21" t="n">
        <f aca="false">C13+D13</f>
        <v>92</v>
      </c>
      <c r="F13" s="53" t="n">
        <v>39</v>
      </c>
      <c r="G13" s="54" t="n">
        <f aca="false">IFERROR(F13/J13,0)</f>
        <v>1</v>
      </c>
      <c r="H13" s="53" t="n">
        <v>0</v>
      </c>
      <c r="I13" s="54" t="n">
        <f aca="false">IFERROR(H13/J13,0)</f>
        <v>0</v>
      </c>
      <c r="J13" s="21" t="n">
        <f aca="false">F13+H13</f>
        <v>39</v>
      </c>
      <c r="K13" s="21" t="n">
        <f aca="false">E13-J13</f>
        <v>53</v>
      </c>
      <c r="L13" s="53" t="n">
        <v>33</v>
      </c>
      <c r="M13" s="53" t="n">
        <v>15</v>
      </c>
      <c r="N13" s="53" t="n">
        <v>5</v>
      </c>
      <c r="O13" s="53" t="n">
        <v>0</v>
      </c>
      <c r="P13" s="53" t="n">
        <v>0</v>
      </c>
      <c r="Q13" s="53" t="n">
        <v>0</v>
      </c>
      <c r="R13" s="21" t="n">
        <f aca="false">SUM(M13:Q13)</f>
        <v>20</v>
      </c>
      <c r="S13" s="21" t="n">
        <f aca="false">K13-SUM(L13:Q13)</f>
        <v>0</v>
      </c>
    </row>
    <row r="14" customFormat="false" ht="15" hidden="false" customHeight="false" outlineLevel="0" collapsed="false">
      <c r="A14" s="55" t="n">
        <v>10</v>
      </c>
      <c r="B14" s="56" t="s">
        <v>255</v>
      </c>
      <c r="C14" s="57" t="n">
        <v>154</v>
      </c>
      <c r="D14" s="57" t="n">
        <v>81</v>
      </c>
      <c r="E14" s="26" t="n">
        <f aca="false">C14+D14</f>
        <v>235</v>
      </c>
      <c r="F14" s="57" t="n">
        <v>69</v>
      </c>
      <c r="G14" s="58" t="n">
        <f aca="false">IFERROR(F14/J14,0)</f>
        <v>0.873417721518987</v>
      </c>
      <c r="H14" s="57" t="n">
        <v>10</v>
      </c>
      <c r="I14" s="58" t="n">
        <f aca="false">IFERROR(H14/J14,0)</f>
        <v>0.126582278481013</v>
      </c>
      <c r="J14" s="26" t="n">
        <f aca="false">F14+H14</f>
        <v>79</v>
      </c>
      <c r="K14" s="26" t="n">
        <f aca="false">E14-J14</f>
        <v>156</v>
      </c>
      <c r="L14" s="57" t="n">
        <v>81</v>
      </c>
      <c r="M14" s="57" t="n">
        <v>75</v>
      </c>
      <c r="N14" s="57" t="n">
        <v>0</v>
      </c>
      <c r="O14" s="57" t="n">
        <v>0</v>
      </c>
      <c r="P14" s="57" t="n">
        <v>0</v>
      </c>
      <c r="Q14" s="57" t="n">
        <v>0</v>
      </c>
      <c r="R14" s="26" t="n">
        <f aca="false">SUM(M14:Q14)</f>
        <v>75</v>
      </c>
      <c r="S14" s="26" t="n">
        <f aca="false">K14-SUM(L14:Q14)</f>
        <v>0</v>
      </c>
    </row>
    <row r="15" customFormat="false" ht="15" hidden="false" customHeight="false" outlineLevel="0" collapsed="false">
      <c r="A15" s="59"/>
      <c r="B15" s="28" t="s">
        <v>11</v>
      </c>
      <c r="C15" s="30" t="n">
        <f aca="false">SUM(C5:INDEX(C:C,ROW()-1))</f>
        <v>1055</v>
      </c>
      <c r="D15" s="30" t="n">
        <f aca="false">SUM(D5:INDEX(D:D,ROW()-1))</f>
        <v>542</v>
      </c>
      <c r="E15" s="30" t="n">
        <f aca="false">C15+D15</f>
        <v>1597</v>
      </c>
      <c r="F15" s="30" t="n">
        <f aca="false">SUM(F5:INDEX(F:F,ROW()-1))</f>
        <v>525</v>
      </c>
      <c r="G15" s="60" t="n">
        <f aca="false">IFERROR(F15/J15,0)</f>
        <v>0.880872483221477</v>
      </c>
      <c r="H15" s="30" t="n">
        <f aca="false">SUM(H5:INDEX(H:H,ROW()-1))</f>
        <v>71</v>
      </c>
      <c r="I15" s="60" t="n">
        <f aca="false">IFERROR(H15/J15,0)</f>
        <v>0.119127516778523</v>
      </c>
      <c r="J15" s="30" t="n">
        <f aca="false">F15+H15</f>
        <v>596</v>
      </c>
      <c r="K15" s="30" t="n">
        <f aca="false">E15-J15</f>
        <v>1001</v>
      </c>
      <c r="L15" s="30" t="n">
        <f aca="false">SUM(L5:INDEX(L:L,ROW()-1))</f>
        <v>529</v>
      </c>
      <c r="M15" s="30" t="n">
        <f aca="false">SUM(M5:INDEX(M:M,ROW()-1))</f>
        <v>432</v>
      </c>
      <c r="N15" s="30" t="n">
        <f aca="false">SUM(N5:INDEX(N:N,ROW()-1))</f>
        <v>40</v>
      </c>
      <c r="O15" s="30" t="n">
        <f aca="false">SUM(O5:INDEX(O:O,ROW()-1))</f>
        <v>0</v>
      </c>
      <c r="P15" s="30" t="n">
        <f aca="false">SUM(P5:INDEX(P:P,ROW()-1))</f>
        <v>0</v>
      </c>
      <c r="Q15" s="30" t="n">
        <f aca="false">SUM(Q5:INDEX(Q:Q,ROW()-1))</f>
        <v>0</v>
      </c>
      <c r="R15" s="30" t="n">
        <f aca="false">SUM(M15:Q15)</f>
        <v>472</v>
      </c>
      <c r="S15" s="30" t="n">
        <f aca="false">K15-SUM(L15:Q15)</f>
        <v>0</v>
      </c>
    </row>
    <row r="17" customFormat="false" ht="15" hidden="false" customHeight="false" outlineLevel="0" collapsed="false">
      <c r="A17" s="49" t="s">
        <v>256</v>
      </c>
    </row>
  </sheetData>
  <mergeCells count="10">
    <mergeCell ref="A3:A4"/>
    <mergeCell ref="B3:B4"/>
    <mergeCell ref="C3:C4"/>
    <mergeCell ref="D3:D4"/>
    <mergeCell ref="E3:E4"/>
    <mergeCell ref="F3:J3"/>
    <mergeCell ref="K3:K4"/>
    <mergeCell ref="L3:Q3"/>
    <mergeCell ref="R3:R4"/>
    <mergeCell ref="S3:S4"/>
  </mergeCells>
  <conditionalFormatting sqref="S5:S15">
    <cfRule type="cellIs" priority="2" operator="notEqual" aboveAverage="0" equalAverage="0" bottom="0" percent="0" rank="0" text="" dxfId="6">
      <formula>0</formula>
    </cfRule>
  </conditionalFormatting>
  <conditionalFormatting sqref="R5:R15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16" min="4" style="0" width="11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16.15" hidden="false" customHeight="false" outlineLevel="0" collapsed="false">
      <c r="A1" s="48" t="s">
        <v>488</v>
      </c>
    </row>
    <row r="2" customFormat="false" ht="15" hidden="false" customHeight="false" outlineLevel="0" collapsed="false">
      <c r="A2" s="49" t="s">
        <v>478</v>
      </c>
    </row>
    <row r="3" customFormat="false" ht="15" hidden="false" customHeight="true" outlineLevel="0" collapsed="false">
      <c r="A3" s="19" t="s">
        <v>234</v>
      </c>
      <c r="B3" s="19" t="s">
        <v>15</v>
      </c>
      <c r="C3" s="19" t="s">
        <v>375</v>
      </c>
      <c r="D3" s="19" t="s">
        <v>376</v>
      </c>
      <c r="E3" s="19" t="s">
        <v>236</v>
      </c>
      <c r="F3" s="19" t="s">
        <v>11</v>
      </c>
      <c r="G3" s="19" t="s">
        <v>5</v>
      </c>
      <c r="H3" s="19"/>
      <c r="I3" s="19"/>
      <c r="J3" s="19"/>
      <c r="K3" s="19"/>
      <c r="L3" s="19" t="s">
        <v>6</v>
      </c>
      <c r="M3" s="19" t="s">
        <v>237</v>
      </c>
      <c r="N3" s="19"/>
      <c r="O3" s="19"/>
      <c r="P3" s="19"/>
      <c r="Q3" s="19" t="s">
        <v>134</v>
      </c>
      <c r="R3" s="19" t="s">
        <v>238</v>
      </c>
    </row>
    <row r="4" customFormat="false" ht="42" hidden="false" customHeight="true" outlineLevel="0" collapsed="false">
      <c r="A4" s="19"/>
      <c r="B4" s="19"/>
      <c r="C4" s="19"/>
      <c r="D4" s="19"/>
      <c r="E4" s="19"/>
      <c r="F4" s="19"/>
      <c r="G4" s="50" t="s">
        <v>239</v>
      </c>
      <c r="H4" s="50" t="s">
        <v>240</v>
      </c>
      <c r="I4" s="50" t="s">
        <v>241</v>
      </c>
      <c r="J4" s="50" t="s">
        <v>240</v>
      </c>
      <c r="K4" s="50" t="s">
        <v>242</v>
      </c>
      <c r="L4" s="19"/>
      <c r="M4" s="50" t="s">
        <v>484</v>
      </c>
      <c r="N4" s="50" t="s">
        <v>245</v>
      </c>
      <c r="O4" s="50" t="s">
        <v>387</v>
      </c>
      <c r="P4" s="50" t="s">
        <v>440</v>
      </c>
      <c r="Q4" s="19"/>
      <c r="R4" s="19"/>
    </row>
    <row r="5" customFormat="false" ht="15" hidden="false" customHeight="false" outlineLevel="0" collapsed="false">
      <c r="A5" s="51" t="n">
        <v>1</v>
      </c>
      <c r="B5" s="52" t="s">
        <v>248</v>
      </c>
      <c r="C5" s="52" t="s">
        <v>248</v>
      </c>
      <c r="D5" s="53" t="n">
        <v>23</v>
      </c>
      <c r="E5" s="53" t="n">
        <v>21</v>
      </c>
      <c r="F5" s="21" t="n">
        <f aca="false">D5+E5</f>
        <v>44</v>
      </c>
      <c r="G5" s="53" t="n">
        <v>15</v>
      </c>
      <c r="H5" s="54" t="n">
        <f aca="false">IFERROR(G5/K5,0)</f>
        <v>0.9375</v>
      </c>
      <c r="I5" s="53" t="n">
        <v>1</v>
      </c>
      <c r="J5" s="54" t="n">
        <f aca="false">IFERROR(I5/K5,0)</f>
        <v>0.0625</v>
      </c>
      <c r="K5" s="21" t="n">
        <f aca="false">G5+I5</f>
        <v>16</v>
      </c>
      <c r="L5" s="21" t="n">
        <f aca="false">F5-K5</f>
        <v>28</v>
      </c>
      <c r="M5" s="53" t="n">
        <v>17</v>
      </c>
      <c r="N5" s="53" t="n">
        <v>11</v>
      </c>
      <c r="O5" s="53" t="n">
        <v>0</v>
      </c>
      <c r="P5" s="53" t="n">
        <v>0</v>
      </c>
      <c r="Q5" s="21" t="n">
        <f aca="false">SUM(N5:P5)</f>
        <v>11</v>
      </c>
      <c r="R5" s="21" t="n">
        <f aca="false">L5-SUM(M5:P5)</f>
        <v>0</v>
      </c>
    </row>
    <row r="6" customFormat="false" ht="15" hidden="false" customHeight="false" outlineLevel="0" collapsed="false">
      <c r="A6" s="55" t="n">
        <v>2</v>
      </c>
      <c r="B6" s="56" t="s">
        <v>251</v>
      </c>
      <c r="C6" s="56" t="s">
        <v>251</v>
      </c>
      <c r="D6" s="57" t="n">
        <v>21</v>
      </c>
      <c r="E6" s="57" t="n">
        <v>18</v>
      </c>
      <c r="F6" s="26" t="n">
        <f aca="false">D6+E6</f>
        <v>39</v>
      </c>
      <c r="G6" s="57" t="n">
        <v>13</v>
      </c>
      <c r="H6" s="58" t="n">
        <f aca="false">IFERROR(G6/K6,0)</f>
        <v>0.928571428571429</v>
      </c>
      <c r="I6" s="57" t="n">
        <v>1</v>
      </c>
      <c r="J6" s="58" t="n">
        <f aca="false">IFERROR(I6/K6,0)</f>
        <v>0.0714285714285714</v>
      </c>
      <c r="K6" s="26" t="n">
        <f aca="false">G6+I6</f>
        <v>14</v>
      </c>
      <c r="L6" s="26" t="n">
        <f aca="false">F6-K6</f>
        <v>25</v>
      </c>
      <c r="M6" s="57" t="n">
        <v>18</v>
      </c>
      <c r="N6" s="57" t="n">
        <v>7</v>
      </c>
      <c r="O6" s="57" t="n">
        <v>0</v>
      </c>
      <c r="P6" s="57" t="n">
        <v>0</v>
      </c>
      <c r="Q6" s="26" t="n">
        <f aca="false">SUM(N6:P6)</f>
        <v>7</v>
      </c>
      <c r="R6" s="26" t="n">
        <f aca="false">L6-SUM(M6:P6)</f>
        <v>0</v>
      </c>
    </row>
    <row r="7" customFormat="false" ht="15" hidden="false" customHeight="false" outlineLevel="0" collapsed="false">
      <c r="A7" s="51" t="n">
        <v>3</v>
      </c>
      <c r="B7" s="52" t="s">
        <v>251</v>
      </c>
      <c r="C7" s="52" t="s">
        <v>379</v>
      </c>
      <c r="D7" s="53" t="n">
        <v>14</v>
      </c>
      <c r="E7" s="53" t="n">
        <v>17</v>
      </c>
      <c r="F7" s="21" t="n">
        <f aca="false">D7+E7</f>
        <v>31</v>
      </c>
      <c r="G7" s="53" t="n">
        <v>2</v>
      </c>
      <c r="H7" s="54" t="n">
        <f aca="false">IFERROR(G7/K7,0)</f>
        <v>1</v>
      </c>
      <c r="I7" s="53" t="n">
        <v>0</v>
      </c>
      <c r="J7" s="54" t="n">
        <f aca="false">IFERROR(I7/K7,0)</f>
        <v>0</v>
      </c>
      <c r="K7" s="21" t="n">
        <f aca="false">G7+I7</f>
        <v>2</v>
      </c>
      <c r="L7" s="21" t="n">
        <f aca="false">F7-K7</f>
        <v>29</v>
      </c>
      <c r="M7" s="53" t="n">
        <v>16</v>
      </c>
      <c r="N7" s="53" t="n">
        <v>13</v>
      </c>
      <c r="O7" s="53" t="n">
        <v>0</v>
      </c>
      <c r="P7" s="53" t="n">
        <v>0</v>
      </c>
      <c r="Q7" s="21" t="n">
        <f aca="false">SUM(N7:P7)</f>
        <v>13</v>
      </c>
      <c r="R7" s="21" t="n">
        <f aca="false">L7-SUM(M7:P7)</f>
        <v>0</v>
      </c>
    </row>
    <row r="8" customFormat="false" ht="15" hidden="false" customHeight="false" outlineLevel="0" collapsed="false">
      <c r="A8" s="55" t="n">
        <v>4</v>
      </c>
      <c r="B8" s="56" t="s">
        <v>489</v>
      </c>
      <c r="C8" s="56" t="s">
        <v>247</v>
      </c>
      <c r="D8" s="57" t="n">
        <v>4</v>
      </c>
      <c r="E8" s="57" t="n">
        <v>6</v>
      </c>
      <c r="F8" s="26" t="n">
        <f aca="false">D8+E8</f>
        <v>10</v>
      </c>
      <c r="G8" s="57" t="n">
        <v>1</v>
      </c>
      <c r="H8" s="58" t="n">
        <f aca="false">IFERROR(G8/K8,0)</f>
        <v>1</v>
      </c>
      <c r="I8" s="57" t="n">
        <v>0</v>
      </c>
      <c r="J8" s="58" t="n">
        <f aca="false">IFERROR(I8/K8,0)</f>
        <v>0</v>
      </c>
      <c r="K8" s="26" t="n">
        <f aca="false">G8+I8</f>
        <v>1</v>
      </c>
      <c r="L8" s="26" t="n">
        <f aca="false">F8-K8</f>
        <v>9</v>
      </c>
      <c r="M8" s="57" t="n">
        <v>6</v>
      </c>
      <c r="N8" s="57" t="n">
        <v>3</v>
      </c>
      <c r="O8" s="57" t="n">
        <v>0</v>
      </c>
      <c r="P8" s="57" t="n">
        <v>0</v>
      </c>
      <c r="Q8" s="26" t="n">
        <f aca="false">SUM(N8:P8)</f>
        <v>3</v>
      </c>
      <c r="R8" s="26" t="n">
        <f aca="false">L8-SUM(M8:P8)</f>
        <v>0</v>
      </c>
    </row>
    <row r="9" customFormat="false" ht="15" hidden="false" customHeight="false" outlineLevel="0" collapsed="false">
      <c r="A9" s="51" t="n">
        <v>5</v>
      </c>
      <c r="B9" s="52" t="s">
        <v>490</v>
      </c>
      <c r="C9" s="52" t="s">
        <v>380</v>
      </c>
      <c r="D9" s="53" t="n">
        <v>36</v>
      </c>
      <c r="E9" s="53" t="n">
        <v>22</v>
      </c>
      <c r="F9" s="21" t="n">
        <f aca="false">D9+E9</f>
        <v>58</v>
      </c>
      <c r="G9" s="53" t="n">
        <v>29</v>
      </c>
      <c r="H9" s="54" t="n">
        <f aca="false">IFERROR(G9/K9,0)</f>
        <v>0.935483870967742</v>
      </c>
      <c r="I9" s="53" t="n">
        <v>2</v>
      </c>
      <c r="J9" s="54" t="n">
        <f aca="false">IFERROR(I9/K9,0)</f>
        <v>0.0645161290322581</v>
      </c>
      <c r="K9" s="21" t="n">
        <f aca="false">G9+I9</f>
        <v>31</v>
      </c>
      <c r="L9" s="21" t="n">
        <f aca="false">F9-K9</f>
        <v>27</v>
      </c>
      <c r="M9" s="53" t="n">
        <v>21</v>
      </c>
      <c r="N9" s="53" t="n">
        <v>6</v>
      </c>
      <c r="O9" s="53" t="n">
        <v>0</v>
      </c>
      <c r="P9" s="53" t="n">
        <v>0</v>
      </c>
      <c r="Q9" s="21" t="n">
        <f aca="false">SUM(N9:P9)</f>
        <v>6</v>
      </c>
      <c r="R9" s="21" t="n">
        <f aca="false">L9-SUM(M9:P9)</f>
        <v>0</v>
      </c>
    </row>
    <row r="10" customFormat="false" ht="15" hidden="false" customHeight="false" outlineLevel="0" collapsed="false">
      <c r="A10" s="59"/>
      <c r="B10" s="28" t="s">
        <v>491</v>
      </c>
      <c r="C10" s="28"/>
      <c r="D10" s="30" t="n">
        <f aca="false">SUM(D5:INDEX(D:D,ROW()-1))</f>
        <v>98</v>
      </c>
      <c r="E10" s="30" t="n">
        <f aca="false">SUM(E5:INDEX(E:E,ROW()-1))</f>
        <v>84</v>
      </c>
      <c r="F10" s="30" t="n">
        <f aca="false">D10+E10</f>
        <v>182</v>
      </c>
      <c r="G10" s="30" t="n">
        <f aca="false">SUM(G5:INDEX(G:G,ROW()-1))</f>
        <v>60</v>
      </c>
      <c r="H10" s="60" t="n">
        <f aca="false">IFERROR(G10/K10,0)</f>
        <v>0.9375</v>
      </c>
      <c r="I10" s="30" t="n">
        <f aca="false">SUM(I5:INDEX(I:I,ROW()-1))</f>
        <v>4</v>
      </c>
      <c r="J10" s="60" t="n">
        <f aca="false">IFERROR(I10/K10,0)</f>
        <v>0.0625</v>
      </c>
      <c r="K10" s="30" t="n">
        <f aca="false">G10+I10</f>
        <v>64</v>
      </c>
      <c r="L10" s="30" t="n">
        <f aca="false">F10-K10</f>
        <v>118</v>
      </c>
      <c r="M10" s="30" t="n">
        <f aca="false">SUM(M5:INDEX(M:M,ROW()-1))</f>
        <v>78</v>
      </c>
      <c r="N10" s="30" t="n">
        <f aca="false">SUM(N5:INDEX(N:N,ROW()-1))</f>
        <v>40</v>
      </c>
      <c r="O10" s="30" t="n">
        <f aca="false">SUM(O5:INDEX(O:O,ROW()-1))</f>
        <v>0</v>
      </c>
      <c r="P10" s="30" t="n">
        <f aca="false">SUM(P5:INDEX(P:P,ROW()-1))</f>
        <v>0</v>
      </c>
      <c r="Q10" s="30" t="n">
        <f aca="false">SUM(N10:P10)</f>
        <v>40</v>
      </c>
      <c r="R10" s="30" t="n">
        <f aca="false">L10-SUM(M10:P10)</f>
        <v>0</v>
      </c>
    </row>
    <row r="12" customFormat="false" ht="15" hidden="false" customHeight="false" outlineLevel="0" collapsed="false">
      <c r="A12" s="49" t="s">
        <v>256</v>
      </c>
    </row>
  </sheetData>
  <mergeCells count="11">
    <mergeCell ref="A3:A4"/>
    <mergeCell ref="B3:B4"/>
    <mergeCell ref="C3:C4"/>
    <mergeCell ref="D3:D4"/>
    <mergeCell ref="E3:E4"/>
    <mergeCell ref="F3:F4"/>
    <mergeCell ref="G3:K3"/>
    <mergeCell ref="L3:L4"/>
    <mergeCell ref="M3:P3"/>
    <mergeCell ref="Q3:Q4"/>
    <mergeCell ref="R3:R4"/>
  </mergeCells>
  <conditionalFormatting sqref="R5:R10">
    <cfRule type="cellIs" priority="2" operator="notEqual" aboveAverage="0" equalAverage="0" bottom="0" percent="0" rank="0" text="" dxfId="6">
      <formula>0</formula>
    </cfRule>
  </conditionalFormatting>
  <conditionalFormatting sqref="Q5:Q10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8" min="5" style="0" width="9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6.15" hidden="false" customHeight="false" outlineLevel="0" collapsed="false">
      <c r="A1" s="48" t="s">
        <v>492</v>
      </c>
    </row>
    <row r="2" customFormat="false" ht="15" hidden="false" customHeight="true" outlineLevel="0" collapsed="false">
      <c r="A2" s="66" t="s">
        <v>234</v>
      </c>
      <c r="B2" s="66" t="s">
        <v>15</v>
      </c>
      <c r="C2" s="66" t="s">
        <v>493</v>
      </c>
      <c r="D2" s="66" t="s">
        <v>494</v>
      </c>
      <c r="E2" s="35" t="s">
        <v>495</v>
      </c>
      <c r="F2" s="35"/>
      <c r="G2" s="35" t="s">
        <v>496</v>
      </c>
      <c r="H2" s="35"/>
      <c r="I2" s="66" t="s">
        <v>497</v>
      </c>
      <c r="J2" s="66" t="s">
        <v>498</v>
      </c>
      <c r="K2" s="66" t="s">
        <v>499</v>
      </c>
      <c r="L2" s="66" t="s">
        <v>500</v>
      </c>
    </row>
    <row r="3" customFormat="false" ht="42" hidden="false" customHeight="true" outlineLevel="0" collapsed="false">
      <c r="A3" s="66"/>
      <c r="B3" s="66"/>
      <c r="C3" s="66"/>
      <c r="D3" s="66"/>
      <c r="E3" s="50" t="s">
        <v>501</v>
      </c>
      <c r="F3" s="50" t="s">
        <v>502</v>
      </c>
      <c r="G3" s="50" t="s">
        <v>501</v>
      </c>
      <c r="H3" s="50" t="s">
        <v>502</v>
      </c>
      <c r="I3" s="66"/>
      <c r="J3" s="66"/>
      <c r="K3" s="66"/>
      <c r="L3" s="66"/>
    </row>
    <row r="4" customFormat="false" ht="15" hidden="false" customHeight="false" outlineLevel="0" collapsed="false">
      <c r="A4" s="51" t="n">
        <v>1</v>
      </c>
      <c r="B4" s="61" t="s">
        <v>248</v>
      </c>
      <c r="C4" s="61" t="s">
        <v>503</v>
      </c>
      <c r="D4" s="61" t="s">
        <v>504</v>
      </c>
      <c r="E4" s="53" t="n">
        <v>74</v>
      </c>
      <c r="F4" s="53" t="n">
        <v>10</v>
      </c>
      <c r="G4" s="53" t="n">
        <v>13</v>
      </c>
      <c r="H4" s="53" t="n">
        <v>12</v>
      </c>
      <c r="I4" s="21" t="n">
        <f aca="false">SUM(E4:H4)</f>
        <v>109</v>
      </c>
      <c r="J4" s="53" t="n">
        <v>128</v>
      </c>
      <c r="K4" s="21" t="n">
        <f aca="false">I4-J4</f>
        <v>-19</v>
      </c>
      <c r="L4" s="69"/>
    </row>
    <row r="5" customFormat="false" ht="15" hidden="false" customHeight="false" outlineLevel="0" collapsed="false">
      <c r="A5" s="55" t="n">
        <v>2</v>
      </c>
      <c r="B5" s="63" t="s">
        <v>248</v>
      </c>
      <c r="C5" s="63" t="s">
        <v>505</v>
      </c>
      <c r="D5" s="63" t="s">
        <v>504</v>
      </c>
      <c r="E5" s="57" t="n">
        <v>80</v>
      </c>
      <c r="F5" s="57" t="n">
        <v>12</v>
      </c>
      <c r="G5" s="57" t="n">
        <v>14</v>
      </c>
      <c r="H5" s="57" t="n">
        <v>12</v>
      </c>
      <c r="I5" s="26" t="n">
        <f aca="false">SUM(E5:H5)</f>
        <v>118</v>
      </c>
      <c r="J5" s="57" t="n">
        <v>136</v>
      </c>
      <c r="K5" s="26" t="n">
        <f aca="false">I5-J5</f>
        <v>-18</v>
      </c>
      <c r="L5" s="70"/>
    </row>
    <row r="6" customFormat="false" ht="15" hidden="false" customHeight="false" outlineLevel="0" collapsed="false">
      <c r="A6" s="51" t="n">
        <v>3</v>
      </c>
      <c r="B6" s="61" t="s">
        <v>248</v>
      </c>
      <c r="C6" s="61" t="s">
        <v>506</v>
      </c>
      <c r="D6" s="61" t="s">
        <v>507</v>
      </c>
      <c r="E6" s="53" t="n">
        <v>72</v>
      </c>
      <c r="F6" s="53" t="n">
        <v>15</v>
      </c>
      <c r="G6" s="53" t="n">
        <v>13</v>
      </c>
      <c r="H6" s="53" t="n">
        <v>8</v>
      </c>
      <c r="I6" s="21" t="n">
        <f aca="false">SUM(E6:H6)</f>
        <v>108</v>
      </c>
      <c r="J6" s="53" t="n">
        <v>128</v>
      </c>
      <c r="K6" s="21" t="n">
        <f aca="false">I6-J6</f>
        <v>-20</v>
      </c>
      <c r="L6" s="69"/>
    </row>
    <row r="7" customFormat="false" ht="15" hidden="false" customHeight="false" outlineLevel="0" collapsed="false">
      <c r="A7" s="55" t="n">
        <v>4</v>
      </c>
      <c r="B7" s="63" t="s">
        <v>248</v>
      </c>
      <c r="C7" s="63" t="s">
        <v>508</v>
      </c>
      <c r="D7" s="63" t="s">
        <v>507</v>
      </c>
      <c r="E7" s="57" t="n">
        <v>75</v>
      </c>
      <c r="F7" s="57" t="n">
        <v>12</v>
      </c>
      <c r="G7" s="57" t="n">
        <v>16</v>
      </c>
      <c r="H7" s="57" t="n">
        <v>8</v>
      </c>
      <c r="I7" s="26" t="n">
        <f aca="false">SUM(E7:H7)</f>
        <v>111</v>
      </c>
      <c r="J7" s="57" t="n">
        <v>119</v>
      </c>
      <c r="K7" s="26" t="n">
        <f aca="false">I7-J7</f>
        <v>-8</v>
      </c>
      <c r="L7" s="70"/>
    </row>
    <row r="8" customFormat="false" ht="15" hidden="false" customHeight="false" outlineLevel="0" collapsed="false">
      <c r="A8" s="51" t="n">
        <v>5</v>
      </c>
      <c r="B8" s="61" t="s">
        <v>248</v>
      </c>
      <c r="C8" s="61" t="s">
        <v>509</v>
      </c>
      <c r="D8" s="61" t="s">
        <v>507</v>
      </c>
      <c r="E8" s="53" t="n">
        <v>84</v>
      </c>
      <c r="F8" s="53" t="n">
        <v>14</v>
      </c>
      <c r="G8" s="53" t="n">
        <v>14</v>
      </c>
      <c r="H8" s="53" t="n">
        <v>10</v>
      </c>
      <c r="I8" s="21" t="n">
        <f aca="false">SUM(E8:H8)</f>
        <v>122</v>
      </c>
      <c r="J8" s="53" t="n">
        <v>132</v>
      </c>
      <c r="K8" s="21" t="n">
        <f aca="false">I8-J8</f>
        <v>-10</v>
      </c>
      <c r="L8" s="69"/>
    </row>
    <row r="9" customFormat="false" ht="15" hidden="false" customHeight="false" outlineLevel="0" collapsed="false">
      <c r="A9" s="55" t="n">
        <v>6</v>
      </c>
      <c r="B9" s="63" t="s">
        <v>248</v>
      </c>
      <c r="C9" s="63" t="s">
        <v>510</v>
      </c>
      <c r="D9" s="63" t="s">
        <v>507</v>
      </c>
      <c r="E9" s="57" t="n">
        <v>83</v>
      </c>
      <c r="F9" s="57" t="n">
        <v>12</v>
      </c>
      <c r="G9" s="57" t="n">
        <v>13</v>
      </c>
      <c r="H9" s="57" t="n">
        <v>10</v>
      </c>
      <c r="I9" s="26" t="n">
        <f aca="false">SUM(E9:H9)</f>
        <v>118</v>
      </c>
      <c r="J9" s="57" t="n">
        <v>115</v>
      </c>
      <c r="K9" s="26" t="n">
        <f aca="false">I9-J9</f>
        <v>3</v>
      </c>
      <c r="L9" s="70"/>
    </row>
    <row r="10" customFormat="false" ht="15" hidden="false" customHeight="false" outlineLevel="0" collapsed="false">
      <c r="A10" s="51" t="n">
        <v>7</v>
      </c>
      <c r="B10" s="61" t="s">
        <v>248</v>
      </c>
      <c r="C10" s="61" t="s">
        <v>511</v>
      </c>
      <c r="D10" s="61" t="s">
        <v>512</v>
      </c>
      <c r="E10" s="53" t="n">
        <v>92</v>
      </c>
      <c r="F10" s="53" t="n">
        <v>12</v>
      </c>
      <c r="G10" s="53" t="n">
        <v>17</v>
      </c>
      <c r="H10" s="53" t="n">
        <v>10</v>
      </c>
      <c r="I10" s="21" t="n">
        <f aca="false">SUM(E10:H10)</f>
        <v>131</v>
      </c>
      <c r="J10" s="53" t="n">
        <v>128</v>
      </c>
      <c r="K10" s="21" t="n">
        <f aca="false">I10-J10</f>
        <v>3</v>
      </c>
      <c r="L10" s="69"/>
    </row>
    <row r="11" customFormat="false" ht="15" hidden="false" customHeight="false" outlineLevel="0" collapsed="false">
      <c r="A11" s="59"/>
      <c r="B11" s="28"/>
      <c r="C11" s="28" t="s">
        <v>11</v>
      </c>
      <c r="D11" s="28"/>
      <c r="E11" s="30" t="n">
        <f aca="false">SUM(E4:INDEX(E:E,ROW()-1))</f>
        <v>560</v>
      </c>
      <c r="F11" s="30" t="n">
        <f aca="false">SUM(F4:INDEX(F:F,ROW()-1))</f>
        <v>87</v>
      </c>
      <c r="G11" s="30" t="n">
        <f aca="false">SUM(G4:INDEX(G:G,ROW()-1))</f>
        <v>100</v>
      </c>
      <c r="H11" s="30" t="n">
        <f aca="false">SUM(H4:INDEX(H:H,ROW()-1))</f>
        <v>70</v>
      </c>
      <c r="I11" s="30" t="n">
        <f aca="false">SUM(I4:INDEX(I:I,ROW()-1))</f>
        <v>817</v>
      </c>
      <c r="J11" s="30" t="n">
        <f aca="false">SUM(J4:INDEX(J:J,ROW()-1))</f>
        <v>886</v>
      </c>
      <c r="K11" s="30" t="n">
        <f aca="false">I11-J11</f>
        <v>-69</v>
      </c>
      <c r="L11" s="71" t="n">
        <f aca="false">COUNTA(C4:INDEX(C:C,ROW()-1))</f>
        <v>7</v>
      </c>
    </row>
    <row r="12" customFormat="false" ht="15" hidden="false" customHeight="false" outlineLevel="0" collapsed="false">
      <c r="A12" s="72"/>
      <c r="B12" s="73"/>
      <c r="C12" s="73" t="s">
        <v>513</v>
      </c>
      <c r="D12" s="73"/>
      <c r="E12" s="74" t="n">
        <f aca="false">IFERROR(E11/$L11,0)</f>
        <v>80</v>
      </c>
      <c r="F12" s="74" t="n">
        <f aca="false">IFERROR(F11/$L11,0)</f>
        <v>12.4285714285714</v>
      </c>
      <c r="G12" s="74" t="n">
        <f aca="false">IFERROR(G11/$L11,0)</f>
        <v>14.2857142857143</v>
      </c>
      <c r="H12" s="74" t="n">
        <f aca="false">IFERROR(H11/$L11,0)</f>
        <v>10</v>
      </c>
      <c r="I12" s="74" t="n">
        <f aca="false">IFERROR(I11/$L11,0)</f>
        <v>116.714285714286</v>
      </c>
      <c r="J12" s="74" t="n">
        <f aca="false">IFERROR(J11/$L11,0)</f>
        <v>126.571428571429</v>
      </c>
      <c r="K12" s="74" t="n">
        <f aca="false">IFERROR(K11/$L11,0)</f>
        <v>-9.85714285714286</v>
      </c>
      <c r="L12" s="72"/>
    </row>
    <row r="15" customFormat="false" ht="16.15" hidden="false" customHeight="false" outlineLevel="0" collapsed="false">
      <c r="A15" s="48" t="s">
        <v>514</v>
      </c>
    </row>
    <row r="16" customFormat="false" ht="15" hidden="false" customHeight="true" outlineLevel="0" collapsed="false">
      <c r="A16" s="66" t="s">
        <v>234</v>
      </c>
      <c r="B16" s="66" t="s">
        <v>15</v>
      </c>
      <c r="C16" s="66" t="s">
        <v>493</v>
      </c>
      <c r="D16" s="66" t="s">
        <v>494</v>
      </c>
      <c r="E16" s="35" t="s">
        <v>495</v>
      </c>
      <c r="F16" s="35"/>
      <c r="G16" s="35" t="s">
        <v>496</v>
      </c>
      <c r="H16" s="35"/>
      <c r="I16" s="66" t="s">
        <v>497</v>
      </c>
      <c r="J16" s="66" t="s">
        <v>498</v>
      </c>
      <c r="K16" s="66" t="s">
        <v>499</v>
      </c>
      <c r="L16" s="66" t="s">
        <v>500</v>
      </c>
    </row>
    <row r="17" customFormat="false" ht="42" hidden="false" customHeight="true" outlineLevel="0" collapsed="false">
      <c r="A17" s="66"/>
      <c r="B17" s="66"/>
      <c r="C17" s="66"/>
      <c r="D17" s="66"/>
      <c r="E17" s="50" t="s">
        <v>501</v>
      </c>
      <c r="F17" s="50" t="s">
        <v>502</v>
      </c>
      <c r="G17" s="50" t="s">
        <v>501</v>
      </c>
      <c r="H17" s="50" t="s">
        <v>502</v>
      </c>
      <c r="I17" s="66"/>
      <c r="J17" s="66"/>
      <c r="K17" s="66"/>
      <c r="L17" s="66"/>
    </row>
    <row r="18" customFormat="false" ht="15" hidden="false" customHeight="false" outlineLevel="0" collapsed="false">
      <c r="A18" s="51" t="n">
        <v>1</v>
      </c>
      <c r="B18" s="61" t="s">
        <v>251</v>
      </c>
      <c r="C18" s="61" t="s">
        <v>515</v>
      </c>
      <c r="D18" s="61" t="s">
        <v>507</v>
      </c>
      <c r="E18" s="53" t="n">
        <v>50</v>
      </c>
      <c r="F18" s="53" t="n">
        <v>17</v>
      </c>
      <c r="G18" s="53" t="n">
        <v>19</v>
      </c>
      <c r="H18" s="53" t="n">
        <v>8</v>
      </c>
      <c r="I18" s="21" t="n">
        <f aca="false">SUM(E18:H18)</f>
        <v>94</v>
      </c>
      <c r="J18" s="53" t="n">
        <v>115</v>
      </c>
      <c r="K18" s="21" t="n">
        <f aca="false">I18-J18</f>
        <v>-21</v>
      </c>
      <c r="L18" s="69"/>
    </row>
    <row r="19" customFormat="false" ht="15" hidden="false" customHeight="false" outlineLevel="0" collapsed="false">
      <c r="A19" s="55" t="n">
        <v>2</v>
      </c>
      <c r="B19" s="63" t="s">
        <v>251</v>
      </c>
      <c r="C19" s="63" t="s">
        <v>516</v>
      </c>
      <c r="D19" s="63" t="s">
        <v>507</v>
      </c>
      <c r="E19" s="57" t="n">
        <v>60</v>
      </c>
      <c r="F19" s="57" t="n">
        <v>20</v>
      </c>
      <c r="G19" s="57" t="n">
        <v>17</v>
      </c>
      <c r="H19" s="57" t="n">
        <v>12</v>
      </c>
      <c r="I19" s="26" t="n">
        <f aca="false">SUM(E19:H19)</f>
        <v>109</v>
      </c>
      <c r="J19" s="57" t="n">
        <v>104</v>
      </c>
      <c r="K19" s="26" t="n">
        <f aca="false">I19-J19</f>
        <v>5</v>
      </c>
      <c r="L19" s="70"/>
    </row>
    <row r="20" customFormat="false" ht="15" hidden="false" customHeight="false" outlineLevel="0" collapsed="false">
      <c r="A20" s="51" t="n">
        <v>3</v>
      </c>
      <c r="B20" s="61" t="s">
        <v>251</v>
      </c>
      <c r="C20" s="61" t="s">
        <v>517</v>
      </c>
      <c r="D20" s="61" t="s">
        <v>507</v>
      </c>
      <c r="E20" s="53" t="n">
        <v>65</v>
      </c>
      <c r="F20" s="53" t="n">
        <v>18</v>
      </c>
      <c r="G20" s="53" t="n">
        <v>15</v>
      </c>
      <c r="H20" s="53" t="n">
        <v>9</v>
      </c>
      <c r="I20" s="21" t="n">
        <f aca="false">SUM(E20:H20)</f>
        <v>107</v>
      </c>
      <c r="J20" s="53" t="n">
        <v>124</v>
      </c>
      <c r="K20" s="21" t="n">
        <f aca="false">I20-J20</f>
        <v>-17</v>
      </c>
      <c r="L20" s="69"/>
    </row>
    <row r="21" customFormat="false" ht="15" hidden="false" customHeight="false" outlineLevel="0" collapsed="false">
      <c r="A21" s="55" t="n">
        <v>4</v>
      </c>
      <c r="B21" s="63" t="s">
        <v>251</v>
      </c>
      <c r="C21" s="63" t="s">
        <v>518</v>
      </c>
      <c r="D21" s="63" t="s">
        <v>507</v>
      </c>
      <c r="E21" s="57" t="n">
        <v>60</v>
      </c>
      <c r="F21" s="57" t="n">
        <v>17</v>
      </c>
      <c r="G21" s="57" t="n">
        <v>26</v>
      </c>
      <c r="H21" s="57" t="n">
        <v>11</v>
      </c>
      <c r="I21" s="26" t="n">
        <f aca="false">SUM(E21:H21)</f>
        <v>114</v>
      </c>
      <c r="J21" s="57" t="n">
        <v>132</v>
      </c>
      <c r="K21" s="26" t="n">
        <f aca="false">I21-J21</f>
        <v>-18</v>
      </c>
      <c r="L21" s="70"/>
    </row>
    <row r="22" customFormat="false" ht="15" hidden="false" customHeight="false" outlineLevel="0" collapsed="false">
      <c r="A22" s="51" t="n">
        <v>5</v>
      </c>
      <c r="B22" s="61" t="s">
        <v>251</v>
      </c>
      <c r="C22" s="61" t="s">
        <v>519</v>
      </c>
      <c r="D22" s="61" t="s">
        <v>520</v>
      </c>
      <c r="E22" s="53" t="n">
        <v>64</v>
      </c>
      <c r="F22" s="53" t="n">
        <v>22</v>
      </c>
      <c r="G22" s="53" t="n">
        <v>15</v>
      </c>
      <c r="H22" s="53" t="n">
        <v>14</v>
      </c>
      <c r="I22" s="21" t="n">
        <f aca="false">SUM(E22:H22)</f>
        <v>115</v>
      </c>
      <c r="J22" s="53" t="n">
        <v>133</v>
      </c>
      <c r="K22" s="21" t="n">
        <f aca="false">I22-J22</f>
        <v>-18</v>
      </c>
      <c r="L22" s="69"/>
    </row>
    <row r="23" customFormat="false" ht="15" hidden="false" customHeight="false" outlineLevel="0" collapsed="false">
      <c r="A23" s="55" t="n">
        <v>6</v>
      </c>
      <c r="B23" s="63" t="s">
        <v>251</v>
      </c>
      <c r="C23" s="63" t="s">
        <v>521</v>
      </c>
      <c r="D23" s="63" t="s">
        <v>507</v>
      </c>
      <c r="E23" s="57" t="n">
        <v>69</v>
      </c>
      <c r="F23" s="57" t="n">
        <v>18</v>
      </c>
      <c r="G23" s="57" t="n">
        <v>20</v>
      </c>
      <c r="H23" s="57" t="n">
        <v>17</v>
      </c>
      <c r="I23" s="26" t="n">
        <f aca="false">SUM(E23:H23)</f>
        <v>124</v>
      </c>
      <c r="J23" s="57" t="n">
        <v>104</v>
      </c>
      <c r="K23" s="26" t="n">
        <f aca="false">I23-J23</f>
        <v>20</v>
      </c>
      <c r="L23" s="70"/>
    </row>
    <row r="24" customFormat="false" ht="15" hidden="false" customHeight="false" outlineLevel="0" collapsed="false">
      <c r="A24" s="51" t="n">
        <v>7</v>
      </c>
      <c r="B24" s="61" t="s">
        <v>251</v>
      </c>
      <c r="C24" s="61" t="s">
        <v>522</v>
      </c>
      <c r="D24" s="61" t="s">
        <v>507</v>
      </c>
      <c r="E24" s="53" t="n">
        <v>63</v>
      </c>
      <c r="F24" s="53" t="n">
        <v>15</v>
      </c>
      <c r="G24" s="53" t="n">
        <v>16</v>
      </c>
      <c r="H24" s="53" t="n">
        <v>9</v>
      </c>
      <c r="I24" s="21" t="n">
        <f aca="false">SUM(E24:H24)</f>
        <v>103</v>
      </c>
      <c r="J24" s="53" t="n">
        <v>106</v>
      </c>
      <c r="K24" s="21" t="n">
        <f aca="false">I24-J24</f>
        <v>-3</v>
      </c>
      <c r="L24" s="69"/>
    </row>
    <row r="25" customFormat="false" ht="15" hidden="false" customHeight="false" outlineLevel="0" collapsed="false">
      <c r="A25" s="55" t="n">
        <v>8</v>
      </c>
      <c r="B25" s="63" t="s">
        <v>251</v>
      </c>
      <c r="C25" s="63" t="s">
        <v>523</v>
      </c>
      <c r="D25" s="63" t="s">
        <v>512</v>
      </c>
      <c r="E25" s="57" t="n">
        <v>60</v>
      </c>
      <c r="F25" s="57" t="n">
        <v>0</v>
      </c>
      <c r="G25" s="57" t="n">
        <v>0</v>
      </c>
      <c r="H25" s="57" t="n">
        <v>0</v>
      </c>
      <c r="I25" s="26" t="n">
        <f aca="false">SUM(E25:H25)</f>
        <v>60</v>
      </c>
      <c r="J25" s="57" t="n">
        <v>98</v>
      </c>
      <c r="K25" s="26" t="n">
        <f aca="false">I25-J25</f>
        <v>-38</v>
      </c>
      <c r="L25" s="70"/>
    </row>
    <row r="26" customFormat="false" ht="15" hidden="false" customHeight="false" outlineLevel="0" collapsed="false">
      <c r="A26" s="59"/>
      <c r="B26" s="28"/>
      <c r="C26" s="28" t="s">
        <v>11</v>
      </c>
      <c r="D26" s="28"/>
      <c r="E26" s="30" t="n">
        <f aca="false">SUM(E18:INDEX(E:E,ROW()-1))</f>
        <v>491</v>
      </c>
      <c r="F26" s="30" t="n">
        <f aca="false">SUM(F18:INDEX(F:F,ROW()-1))</f>
        <v>127</v>
      </c>
      <c r="G26" s="30" t="n">
        <f aca="false">SUM(G18:INDEX(G:G,ROW()-1))</f>
        <v>128</v>
      </c>
      <c r="H26" s="30" t="n">
        <f aca="false">SUM(H18:INDEX(H:H,ROW()-1))</f>
        <v>80</v>
      </c>
      <c r="I26" s="30" t="n">
        <f aca="false">SUM(I18:INDEX(I:I,ROW()-1))</f>
        <v>826</v>
      </c>
      <c r="J26" s="30" t="n">
        <f aca="false">SUM(J18:INDEX(J:J,ROW()-1))</f>
        <v>916</v>
      </c>
      <c r="K26" s="30" t="n">
        <f aca="false">I26-J26</f>
        <v>-90</v>
      </c>
      <c r="L26" s="71" t="n">
        <f aca="false">COUNTA(C18:INDEX(C:C,ROW()-1))</f>
        <v>8</v>
      </c>
    </row>
    <row r="27" customFormat="false" ht="15" hidden="false" customHeight="false" outlineLevel="0" collapsed="false">
      <c r="A27" s="72"/>
      <c r="B27" s="73"/>
      <c r="C27" s="73" t="s">
        <v>513</v>
      </c>
      <c r="D27" s="73"/>
      <c r="E27" s="74" t="n">
        <f aca="false">IFERROR(E26/$L26,0)</f>
        <v>61.375</v>
      </c>
      <c r="F27" s="74" t="n">
        <f aca="false">IFERROR(F26/$L26,0)</f>
        <v>15.875</v>
      </c>
      <c r="G27" s="74" t="n">
        <f aca="false">IFERROR(G26/$L26,0)</f>
        <v>16</v>
      </c>
      <c r="H27" s="74" t="n">
        <f aca="false">IFERROR(H26/$L26,0)</f>
        <v>10</v>
      </c>
      <c r="I27" s="74" t="n">
        <f aca="false">IFERROR(I26/$L26,0)</f>
        <v>103.25</v>
      </c>
      <c r="J27" s="74" t="n">
        <f aca="false">IFERROR(J26/$L26,0)</f>
        <v>114.5</v>
      </c>
      <c r="K27" s="74" t="n">
        <f aca="false">IFERROR(K26/$L26,0)</f>
        <v>-11.25</v>
      </c>
      <c r="L27" s="72"/>
    </row>
    <row r="30" customFormat="false" ht="16.15" hidden="false" customHeight="false" outlineLevel="0" collapsed="false">
      <c r="A30" s="48" t="s">
        <v>524</v>
      </c>
    </row>
    <row r="31" customFormat="false" ht="15" hidden="false" customHeight="true" outlineLevel="0" collapsed="false">
      <c r="A31" s="66" t="s">
        <v>234</v>
      </c>
      <c r="B31" s="66" t="s">
        <v>15</v>
      </c>
      <c r="C31" s="66" t="s">
        <v>493</v>
      </c>
      <c r="D31" s="66" t="s">
        <v>494</v>
      </c>
      <c r="E31" s="35" t="s">
        <v>495</v>
      </c>
      <c r="F31" s="35"/>
      <c r="G31" s="35" t="s">
        <v>496</v>
      </c>
      <c r="H31" s="35"/>
      <c r="I31" s="66" t="s">
        <v>497</v>
      </c>
      <c r="J31" s="66" t="s">
        <v>498</v>
      </c>
      <c r="K31" s="66" t="s">
        <v>499</v>
      </c>
      <c r="L31" s="66" t="s">
        <v>500</v>
      </c>
    </row>
    <row r="32" customFormat="false" ht="42" hidden="false" customHeight="true" outlineLevel="0" collapsed="false">
      <c r="A32" s="66"/>
      <c r="B32" s="66"/>
      <c r="C32" s="66"/>
      <c r="D32" s="66"/>
      <c r="E32" s="50" t="s">
        <v>501</v>
      </c>
      <c r="F32" s="50" t="s">
        <v>502</v>
      </c>
      <c r="G32" s="50" t="s">
        <v>501</v>
      </c>
      <c r="H32" s="50" t="s">
        <v>502</v>
      </c>
      <c r="I32" s="66"/>
      <c r="J32" s="66"/>
      <c r="K32" s="66"/>
      <c r="L32" s="66"/>
    </row>
    <row r="33" customFormat="false" ht="15" hidden="false" customHeight="false" outlineLevel="0" collapsed="false">
      <c r="A33" s="51" t="n">
        <v>1</v>
      </c>
      <c r="B33" s="61" t="s">
        <v>250</v>
      </c>
      <c r="C33" s="61" t="s">
        <v>506</v>
      </c>
      <c r="D33" s="61" t="s">
        <v>507</v>
      </c>
      <c r="E33" s="53" t="n">
        <v>56</v>
      </c>
      <c r="F33" s="53" t="n">
        <v>21</v>
      </c>
      <c r="G33" s="53" t="n">
        <v>16</v>
      </c>
      <c r="H33" s="53" t="n">
        <v>12</v>
      </c>
      <c r="I33" s="21" t="n">
        <f aca="false">SUM(E33:H33)</f>
        <v>105</v>
      </c>
      <c r="J33" s="53" t="n">
        <v>91</v>
      </c>
      <c r="K33" s="21" t="n">
        <f aca="false">I33-J33</f>
        <v>14</v>
      </c>
      <c r="L33" s="69"/>
    </row>
    <row r="34" customFormat="false" ht="15" hidden="false" customHeight="false" outlineLevel="0" collapsed="false">
      <c r="A34" s="55" t="n">
        <v>2</v>
      </c>
      <c r="B34" s="63" t="s">
        <v>250</v>
      </c>
      <c r="C34" s="63" t="s">
        <v>525</v>
      </c>
      <c r="D34" s="63" t="s">
        <v>507</v>
      </c>
      <c r="E34" s="57" t="n">
        <v>92</v>
      </c>
      <c r="F34" s="57" t="n">
        <v>9</v>
      </c>
      <c r="G34" s="57" t="n">
        <v>14</v>
      </c>
      <c r="H34" s="57" t="n">
        <v>4</v>
      </c>
      <c r="I34" s="26" t="n">
        <f aca="false">SUM(E34:H34)</f>
        <v>119</v>
      </c>
      <c r="J34" s="57" t="n">
        <v>88</v>
      </c>
      <c r="K34" s="26" t="n">
        <f aca="false">I34-J34</f>
        <v>31</v>
      </c>
      <c r="L34" s="70"/>
    </row>
    <row r="35" customFormat="false" ht="15" hidden="false" customHeight="false" outlineLevel="0" collapsed="false">
      <c r="A35" s="51" t="n">
        <v>3</v>
      </c>
      <c r="B35" s="61" t="s">
        <v>250</v>
      </c>
      <c r="C35" s="61" t="s">
        <v>526</v>
      </c>
      <c r="D35" s="61" t="s">
        <v>507</v>
      </c>
      <c r="E35" s="53" t="n">
        <v>75</v>
      </c>
      <c r="F35" s="53" t="n">
        <v>12</v>
      </c>
      <c r="G35" s="53" t="n">
        <v>27</v>
      </c>
      <c r="H35" s="53" t="n">
        <v>10</v>
      </c>
      <c r="I35" s="21" t="n">
        <f aca="false">SUM(E35:H35)</f>
        <v>124</v>
      </c>
      <c r="J35" s="53" t="n">
        <v>92</v>
      </c>
      <c r="K35" s="21" t="n">
        <f aca="false">I35-J35</f>
        <v>32</v>
      </c>
      <c r="L35" s="69"/>
    </row>
    <row r="36" customFormat="false" ht="15" hidden="false" customHeight="false" outlineLevel="0" collapsed="false">
      <c r="A36" s="55" t="n">
        <v>4</v>
      </c>
      <c r="B36" s="63" t="s">
        <v>250</v>
      </c>
      <c r="C36" s="63" t="s">
        <v>527</v>
      </c>
      <c r="D36" s="63" t="s">
        <v>507</v>
      </c>
      <c r="E36" s="57" t="n">
        <v>35</v>
      </c>
      <c r="F36" s="57" t="n">
        <v>4</v>
      </c>
      <c r="G36" s="57" t="n">
        <v>3</v>
      </c>
      <c r="H36" s="57" t="n">
        <v>2</v>
      </c>
      <c r="I36" s="26" t="n">
        <f aca="false">SUM(E36:H36)</f>
        <v>44</v>
      </c>
      <c r="J36" s="57" t="n">
        <v>84</v>
      </c>
      <c r="K36" s="26" t="n">
        <f aca="false">I36-J36</f>
        <v>-40</v>
      </c>
      <c r="L36" s="70"/>
    </row>
    <row r="37" customFormat="false" ht="15" hidden="false" customHeight="false" outlineLevel="0" collapsed="false">
      <c r="A37" s="51" t="n">
        <v>5</v>
      </c>
      <c r="B37" s="61" t="s">
        <v>250</v>
      </c>
      <c r="C37" s="61" t="s">
        <v>528</v>
      </c>
      <c r="D37" s="61" t="s">
        <v>520</v>
      </c>
      <c r="E37" s="53" t="n">
        <v>28</v>
      </c>
      <c r="F37" s="53" t="n">
        <v>10</v>
      </c>
      <c r="G37" s="53" t="n">
        <v>14</v>
      </c>
      <c r="H37" s="53" t="n">
        <v>9</v>
      </c>
      <c r="I37" s="21" t="n">
        <f aca="false">SUM(E37:H37)</f>
        <v>61</v>
      </c>
      <c r="J37" s="53" t="n">
        <v>82</v>
      </c>
      <c r="K37" s="21" t="n">
        <f aca="false">I37-J37</f>
        <v>-21</v>
      </c>
      <c r="L37" s="69"/>
    </row>
    <row r="38" customFormat="false" ht="15" hidden="false" customHeight="false" outlineLevel="0" collapsed="false">
      <c r="A38" s="55" t="n">
        <v>6</v>
      </c>
      <c r="B38" s="63" t="s">
        <v>250</v>
      </c>
      <c r="C38" s="63" t="s">
        <v>529</v>
      </c>
      <c r="D38" s="63" t="s">
        <v>507</v>
      </c>
      <c r="E38" s="57" t="n">
        <v>38</v>
      </c>
      <c r="F38" s="57" t="n">
        <v>6</v>
      </c>
      <c r="G38" s="57" t="n">
        <v>17</v>
      </c>
      <c r="H38" s="57" t="n">
        <v>0</v>
      </c>
      <c r="I38" s="26" t="n">
        <f aca="false">SUM(E38:H38)</f>
        <v>61</v>
      </c>
      <c r="J38" s="57" t="n">
        <v>84</v>
      </c>
      <c r="K38" s="26" t="n">
        <f aca="false">I38-J38</f>
        <v>-23</v>
      </c>
      <c r="L38" s="70"/>
    </row>
    <row r="39" customFormat="false" ht="15" hidden="false" customHeight="false" outlineLevel="0" collapsed="false">
      <c r="A39" s="51" t="n">
        <v>7</v>
      </c>
      <c r="B39" s="61" t="s">
        <v>250</v>
      </c>
      <c r="C39" s="61" t="s">
        <v>530</v>
      </c>
      <c r="D39" s="61" t="s">
        <v>504</v>
      </c>
      <c r="E39" s="53" t="n">
        <v>31</v>
      </c>
      <c r="F39" s="53" t="n">
        <v>9</v>
      </c>
      <c r="G39" s="53" t="n">
        <v>9</v>
      </c>
      <c r="H39" s="53" t="n">
        <v>5</v>
      </c>
      <c r="I39" s="21" t="n">
        <f aca="false">SUM(E39:H39)</f>
        <v>54</v>
      </c>
      <c r="J39" s="53" t="n">
        <v>88</v>
      </c>
      <c r="K39" s="21" t="n">
        <f aca="false">I39-J39</f>
        <v>-34</v>
      </c>
      <c r="L39" s="69"/>
    </row>
    <row r="40" customFormat="false" ht="15" hidden="false" customHeight="false" outlineLevel="0" collapsed="false">
      <c r="A40" s="55" t="n">
        <v>8</v>
      </c>
      <c r="B40" s="63" t="s">
        <v>250</v>
      </c>
      <c r="C40" s="63" t="s">
        <v>531</v>
      </c>
      <c r="D40" s="63" t="s">
        <v>504</v>
      </c>
      <c r="E40" s="57" t="n">
        <v>19</v>
      </c>
      <c r="F40" s="57" t="n">
        <v>11</v>
      </c>
      <c r="G40" s="57" t="n">
        <v>11</v>
      </c>
      <c r="H40" s="57" t="n">
        <v>3</v>
      </c>
      <c r="I40" s="26" t="n">
        <f aca="false">SUM(E40:H40)</f>
        <v>44</v>
      </c>
      <c r="J40" s="57" t="n">
        <v>78</v>
      </c>
      <c r="K40" s="26" t="n">
        <f aca="false">I40-J40</f>
        <v>-34</v>
      </c>
      <c r="L40" s="70"/>
    </row>
    <row r="41" customFormat="false" ht="15" hidden="false" customHeight="false" outlineLevel="0" collapsed="false">
      <c r="A41" s="51" t="n">
        <v>9</v>
      </c>
      <c r="B41" s="61" t="s">
        <v>250</v>
      </c>
      <c r="C41" s="61" t="s">
        <v>532</v>
      </c>
      <c r="D41" s="61" t="s">
        <v>504</v>
      </c>
      <c r="E41" s="53" t="n">
        <v>18</v>
      </c>
      <c r="F41" s="53" t="n">
        <v>8</v>
      </c>
      <c r="G41" s="53" t="n">
        <v>7</v>
      </c>
      <c r="H41" s="53" t="n">
        <v>1</v>
      </c>
      <c r="I41" s="21" t="n">
        <f aca="false">SUM(E41:H41)</f>
        <v>34</v>
      </c>
      <c r="J41" s="53" t="n">
        <v>79</v>
      </c>
      <c r="K41" s="21" t="n">
        <f aca="false">I41-J41</f>
        <v>-45</v>
      </c>
      <c r="L41" s="69"/>
    </row>
    <row r="42" customFormat="false" ht="15" hidden="false" customHeight="false" outlineLevel="0" collapsed="false">
      <c r="A42" s="55" t="n">
        <v>10</v>
      </c>
      <c r="B42" s="63" t="s">
        <v>250</v>
      </c>
      <c r="C42" s="63" t="s">
        <v>527</v>
      </c>
      <c r="D42" s="63" t="s">
        <v>512</v>
      </c>
      <c r="E42" s="57" t="n">
        <v>33</v>
      </c>
      <c r="F42" s="57" t="n">
        <v>16</v>
      </c>
      <c r="G42" s="57" t="n">
        <v>4</v>
      </c>
      <c r="H42" s="57" t="n">
        <v>3</v>
      </c>
      <c r="I42" s="26" t="n">
        <f aca="false">SUM(E42:H42)</f>
        <v>56</v>
      </c>
      <c r="J42" s="57" t="n">
        <v>79</v>
      </c>
      <c r="K42" s="26" t="n">
        <f aca="false">I42-J42</f>
        <v>-23</v>
      </c>
      <c r="L42" s="70"/>
    </row>
    <row r="43" customFormat="false" ht="15" hidden="false" customHeight="false" outlineLevel="0" collapsed="false">
      <c r="A43" s="51" t="n">
        <v>11</v>
      </c>
      <c r="B43" s="61" t="s">
        <v>250</v>
      </c>
      <c r="C43" s="61" t="s">
        <v>533</v>
      </c>
      <c r="D43" s="61" t="s">
        <v>512</v>
      </c>
      <c r="E43" s="53" t="n">
        <v>28</v>
      </c>
      <c r="F43" s="53" t="n">
        <v>7</v>
      </c>
      <c r="G43" s="53" t="n">
        <v>11</v>
      </c>
      <c r="H43" s="53" t="n">
        <v>7</v>
      </c>
      <c r="I43" s="21" t="n">
        <f aca="false">SUM(E43:H43)</f>
        <v>53</v>
      </c>
      <c r="J43" s="53" t="n">
        <v>76</v>
      </c>
      <c r="K43" s="21" t="n">
        <f aca="false">I43-J43</f>
        <v>-23</v>
      </c>
      <c r="L43" s="69"/>
    </row>
    <row r="44" customFormat="false" ht="15" hidden="false" customHeight="false" outlineLevel="0" collapsed="false">
      <c r="A44" s="59"/>
      <c r="B44" s="28"/>
      <c r="C44" s="28" t="s">
        <v>11</v>
      </c>
      <c r="D44" s="28"/>
      <c r="E44" s="30" t="n">
        <f aca="false">SUM(E33:INDEX(E:E,ROW()-1))</f>
        <v>453</v>
      </c>
      <c r="F44" s="30" t="n">
        <f aca="false">SUM(F33:INDEX(F:F,ROW()-1))</f>
        <v>113</v>
      </c>
      <c r="G44" s="30" t="n">
        <f aca="false">SUM(G33:INDEX(G:G,ROW()-1))</f>
        <v>133</v>
      </c>
      <c r="H44" s="30" t="n">
        <f aca="false">SUM(H33:INDEX(H:H,ROW()-1))</f>
        <v>56</v>
      </c>
      <c r="I44" s="30" t="n">
        <f aca="false">SUM(I33:INDEX(I:I,ROW()-1))</f>
        <v>755</v>
      </c>
      <c r="J44" s="30" t="n">
        <f aca="false">SUM(J33:INDEX(J:J,ROW()-1))</f>
        <v>921</v>
      </c>
      <c r="K44" s="30" t="n">
        <f aca="false">I44-J44</f>
        <v>-166</v>
      </c>
      <c r="L44" s="71" t="n">
        <f aca="false">COUNTA(C33:INDEX(C:C,ROW()-1))</f>
        <v>11</v>
      </c>
    </row>
    <row r="45" customFormat="false" ht="15" hidden="false" customHeight="false" outlineLevel="0" collapsed="false">
      <c r="A45" s="72"/>
      <c r="B45" s="73"/>
      <c r="C45" s="73" t="s">
        <v>513</v>
      </c>
      <c r="D45" s="73"/>
      <c r="E45" s="74" t="n">
        <f aca="false">IFERROR(E44/$L44,0)</f>
        <v>41.1818181818182</v>
      </c>
      <c r="F45" s="74" t="n">
        <f aca="false">IFERROR(F44/$L44,0)</f>
        <v>10.2727272727273</v>
      </c>
      <c r="G45" s="74" t="n">
        <f aca="false">IFERROR(G44/$L44,0)</f>
        <v>12.0909090909091</v>
      </c>
      <c r="H45" s="74" t="n">
        <f aca="false">IFERROR(H44/$L44,0)</f>
        <v>5.09090909090909</v>
      </c>
      <c r="I45" s="74" t="n">
        <f aca="false">IFERROR(I44/$L44,0)</f>
        <v>68.6363636363636</v>
      </c>
      <c r="J45" s="74" t="n">
        <f aca="false">IFERROR(J44/$L44,0)</f>
        <v>83.7272727272727</v>
      </c>
      <c r="K45" s="74" t="n">
        <f aca="false">IFERROR(K44/$L44,0)</f>
        <v>-15.0909090909091</v>
      </c>
      <c r="L45" s="72"/>
    </row>
    <row r="48" customFormat="false" ht="15" hidden="false" customHeight="false" outlineLevel="0" collapsed="false">
      <c r="A48" s="49" t="s">
        <v>534</v>
      </c>
    </row>
  </sheetData>
  <mergeCells count="30">
    <mergeCell ref="A2:A3"/>
    <mergeCell ref="B2:B3"/>
    <mergeCell ref="C2:C3"/>
    <mergeCell ref="D2:D3"/>
    <mergeCell ref="E2:F2"/>
    <mergeCell ref="G2:H2"/>
    <mergeCell ref="I2:I3"/>
    <mergeCell ref="J2:J3"/>
    <mergeCell ref="K2:K3"/>
    <mergeCell ref="L2:L3"/>
    <mergeCell ref="A16:A17"/>
    <mergeCell ref="B16:B17"/>
    <mergeCell ref="C16:C17"/>
    <mergeCell ref="D16:D17"/>
    <mergeCell ref="E16:F16"/>
    <mergeCell ref="G16:H16"/>
    <mergeCell ref="I16:I17"/>
    <mergeCell ref="J16:J17"/>
    <mergeCell ref="K16:K17"/>
    <mergeCell ref="L16:L17"/>
    <mergeCell ref="A31:A32"/>
    <mergeCell ref="B31:B32"/>
    <mergeCell ref="C31:C32"/>
    <mergeCell ref="D31:D32"/>
    <mergeCell ref="E31:F31"/>
    <mergeCell ref="G31:H31"/>
    <mergeCell ref="I31:I32"/>
    <mergeCell ref="J31:J32"/>
    <mergeCell ref="K31:K32"/>
    <mergeCell ref="L31:L32"/>
  </mergeCells>
  <conditionalFormatting sqref="K4:K12">
    <cfRule type="cellIs" priority="2" operator="lessThan" aboveAverage="0" equalAverage="0" bottom="0" percent="0" rank="0" text="" dxfId="7">
      <formula>0</formula>
    </cfRule>
  </conditionalFormatting>
  <conditionalFormatting sqref="K18:K27">
    <cfRule type="cellIs" priority="3" operator="lessThan" aboveAverage="0" equalAverage="0" bottom="0" percent="0" rank="0" text="" dxfId="7">
      <formula>0</formula>
    </cfRule>
  </conditionalFormatting>
  <conditionalFormatting sqref="K33:K45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8" min="5" style="0" width="9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6.15" hidden="false" customHeight="false" outlineLevel="0" collapsed="false">
      <c r="A1" s="48" t="s">
        <v>535</v>
      </c>
    </row>
    <row r="2" customFormat="false" ht="15" hidden="false" customHeight="true" outlineLevel="0" collapsed="false">
      <c r="A2" s="66" t="s">
        <v>234</v>
      </c>
      <c r="B2" s="66" t="s">
        <v>15</v>
      </c>
      <c r="C2" s="66" t="s">
        <v>493</v>
      </c>
      <c r="D2" s="66" t="s">
        <v>494</v>
      </c>
      <c r="E2" s="35" t="s">
        <v>495</v>
      </c>
      <c r="F2" s="35"/>
      <c r="G2" s="35" t="s">
        <v>496</v>
      </c>
      <c r="H2" s="35"/>
      <c r="I2" s="66" t="s">
        <v>497</v>
      </c>
      <c r="J2" s="66" t="s">
        <v>498</v>
      </c>
      <c r="K2" s="66" t="s">
        <v>499</v>
      </c>
      <c r="L2" s="66" t="s">
        <v>500</v>
      </c>
    </row>
    <row r="3" customFormat="false" ht="42" hidden="false" customHeight="true" outlineLevel="0" collapsed="false">
      <c r="A3" s="66"/>
      <c r="B3" s="66"/>
      <c r="C3" s="66"/>
      <c r="D3" s="66"/>
      <c r="E3" s="50" t="s">
        <v>501</v>
      </c>
      <c r="F3" s="50" t="s">
        <v>502</v>
      </c>
      <c r="G3" s="50" t="s">
        <v>501</v>
      </c>
      <c r="H3" s="50" t="s">
        <v>502</v>
      </c>
      <c r="I3" s="66"/>
      <c r="J3" s="66"/>
      <c r="K3" s="66"/>
      <c r="L3" s="66"/>
    </row>
    <row r="4" customFormat="false" ht="15" hidden="false" customHeight="false" outlineLevel="0" collapsed="false">
      <c r="A4" s="51" t="n">
        <v>1</v>
      </c>
      <c r="B4" s="61" t="s">
        <v>247</v>
      </c>
      <c r="C4" s="61" t="s">
        <v>536</v>
      </c>
      <c r="D4" s="61" t="s">
        <v>507</v>
      </c>
      <c r="E4" s="53" t="n">
        <v>50</v>
      </c>
      <c r="F4" s="53" t="n">
        <v>17</v>
      </c>
      <c r="G4" s="53" t="n">
        <v>20</v>
      </c>
      <c r="H4" s="53" t="n">
        <v>9</v>
      </c>
      <c r="I4" s="21" t="n">
        <f aca="false">SUM(E4:H4)</f>
        <v>96</v>
      </c>
      <c r="J4" s="53" t="n">
        <v>105</v>
      </c>
      <c r="K4" s="21" t="n">
        <f aca="false">I4-J4</f>
        <v>-9</v>
      </c>
      <c r="L4" s="69"/>
    </row>
    <row r="5" customFormat="false" ht="15" hidden="false" customHeight="false" outlineLevel="0" collapsed="false">
      <c r="A5" s="55" t="n">
        <v>2</v>
      </c>
      <c r="B5" s="63" t="s">
        <v>247</v>
      </c>
      <c r="C5" s="63" t="s">
        <v>537</v>
      </c>
      <c r="D5" s="63" t="s">
        <v>507</v>
      </c>
      <c r="E5" s="57" t="n">
        <v>49</v>
      </c>
      <c r="F5" s="57" t="n">
        <v>21</v>
      </c>
      <c r="G5" s="57" t="n">
        <v>19</v>
      </c>
      <c r="H5" s="57" t="n">
        <v>8</v>
      </c>
      <c r="I5" s="26" t="n">
        <f aca="false">SUM(E5:H5)</f>
        <v>97</v>
      </c>
      <c r="J5" s="57" t="n">
        <v>96</v>
      </c>
      <c r="K5" s="26" t="n">
        <f aca="false">I5-J5</f>
        <v>1</v>
      </c>
      <c r="L5" s="70"/>
    </row>
    <row r="6" customFormat="false" ht="15" hidden="false" customHeight="false" outlineLevel="0" collapsed="false">
      <c r="A6" s="51" t="n">
        <v>3</v>
      </c>
      <c r="B6" s="61" t="s">
        <v>247</v>
      </c>
      <c r="C6" s="61" t="s">
        <v>538</v>
      </c>
      <c r="D6" s="61" t="s">
        <v>520</v>
      </c>
      <c r="E6" s="53" t="n">
        <v>0</v>
      </c>
      <c r="F6" s="53" t="n">
        <v>0</v>
      </c>
      <c r="G6" s="53" t="n">
        <v>0</v>
      </c>
      <c r="H6" s="53" t="n">
        <v>0</v>
      </c>
      <c r="I6" s="21" t="n">
        <f aca="false">SUM(E6:H6)</f>
        <v>0</v>
      </c>
      <c r="J6" s="53" t="n">
        <v>0</v>
      </c>
      <c r="K6" s="21" t="n">
        <f aca="false">I6-J6</f>
        <v>0</v>
      </c>
      <c r="L6" s="69"/>
    </row>
    <row r="7" customFormat="false" ht="15" hidden="false" customHeight="false" outlineLevel="0" collapsed="false">
      <c r="A7" s="55" t="n">
        <v>4</v>
      </c>
      <c r="B7" s="63" t="s">
        <v>247</v>
      </c>
      <c r="C7" s="63" t="s">
        <v>539</v>
      </c>
      <c r="D7" s="63" t="s">
        <v>520</v>
      </c>
      <c r="E7" s="57" t="n">
        <v>46</v>
      </c>
      <c r="F7" s="57" t="n">
        <v>12</v>
      </c>
      <c r="G7" s="57" t="n">
        <v>18</v>
      </c>
      <c r="H7" s="57" t="n">
        <v>13</v>
      </c>
      <c r="I7" s="26" t="n">
        <f aca="false">SUM(E7:H7)</f>
        <v>89</v>
      </c>
      <c r="J7" s="57" t="n">
        <v>97</v>
      </c>
      <c r="K7" s="26" t="n">
        <f aca="false">I7-J7</f>
        <v>-8</v>
      </c>
      <c r="L7" s="70"/>
    </row>
    <row r="8" customFormat="false" ht="15" hidden="false" customHeight="false" outlineLevel="0" collapsed="false">
      <c r="A8" s="51" t="n">
        <v>5</v>
      </c>
      <c r="B8" s="61" t="s">
        <v>247</v>
      </c>
      <c r="C8" s="61" t="s">
        <v>540</v>
      </c>
      <c r="D8" s="61" t="s">
        <v>520</v>
      </c>
      <c r="E8" s="53" t="n">
        <v>44</v>
      </c>
      <c r="F8" s="53" t="n">
        <v>12</v>
      </c>
      <c r="G8" s="53" t="n">
        <v>17</v>
      </c>
      <c r="H8" s="53" t="n">
        <v>9</v>
      </c>
      <c r="I8" s="21" t="n">
        <f aca="false">SUM(E8:H8)</f>
        <v>82</v>
      </c>
      <c r="J8" s="53" t="n">
        <v>87</v>
      </c>
      <c r="K8" s="21" t="n">
        <f aca="false">I8-J8</f>
        <v>-5</v>
      </c>
      <c r="L8" s="69"/>
    </row>
    <row r="9" customFormat="false" ht="15" hidden="false" customHeight="false" outlineLevel="0" collapsed="false">
      <c r="A9" s="55" t="n">
        <v>6</v>
      </c>
      <c r="B9" s="63" t="s">
        <v>247</v>
      </c>
      <c r="C9" s="63" t="s">
        <v>541</v>
      </c>
      <c r="D9" s="63" t="s">
        <v>512</v>
      </c>
      <c r="E9" s="57" t="n">
        <v>48</v>
      </c>
      <c r="F9" s="57" t="n">
        <v>7</v>
      </c>
      <c r="G9" s="57" t="n">
        <v>4</v>
      </c>
      <c r="H9" s="57" t="n">
        <v>0</v>
      </c>
      <c r="I9" s="26" t="n">
        <f aca="false">SUM(E9:H9)</f>
        <v>59</v>
      </c>
      <c r="J9" s="57" t="n">
        <v>94</v>
      </c>
      <c r="K9" s="26" t="n">
        <f aca="false">I9-J9</f>
        <v>-35</v>
      </c>
      <c r="L9" s="70"/>
    </row>
    <row r="10" customFormat="false" ht="15" hidden="false" customHeight="false" outlineLevel="0" collapsed="false">
      <c r="A10" s="51" t="n">
        <v>7</v>
      </c>
      <c r="B10" s="61" t="s">
        <v>247</v>
      </c>
      <c r="C10" s="61" t="s">
        <v>542</v>
      </c>
      <c r="D10" s="61" t="s">
        <v>512</v>
      </c>
      <c r="E10" s="53" t="n">
        <v>36</v>
      </c>
      <c r="F10" s="53" t="n">
        <v>4</v>
      </c>
      <c r="G10" s="53" t="n">
        <v>10</v>
      </c>
      <c r="H10" s="53" t="n">
        <v>7</v>
      </c>
      <c r="I10" s="21" t="n">
        <f aca="false">SUM(E10:H10)</f>
        <v>57</v>
      </c>
      <c r="J10" s="53" t="n">
        <v>96</v>
      </c>
      <c r="K10" s="21" t="n">
        <f aca="false">I10-J10</f>
        <v>-39</v>
      </c>
      <c r="L10" s="69"/>
    </row>
    <row r="11" customFormat="false" ht="15" hidden="false" customHeight="false" outlineLevel="0" collapsed="false">
      <c r="A11" s="55" t="n">
        <v>8</v>
      </c>
      <c r="B11" s="63" t="s">
        <v>247</v>
      </c>
      <c r="C11" s="63" t="s">
        <v>543</v>
      </c>
      <c r="D11" s="63" t="s">
        <v>512</v>
      </c>
      <c r="E11" s="57" t="n">
        <v>29</v>
      </c>
      <c r="F11" s="57" t="n">
        <v>3</v>
      </c>
      <c r="G11" s="57" t="n">
        <v>16</v>
      </c>
      <c r="H11" s="57" t="n">
        <v>5</v>
      </c>
      <c r="I11" s="26" t="n">
        <f aca="false">SUM(E11:H11)</f>
        <v>53</v>
      </c>
      <c r="J11" s="57" t="n">
        <v>89</v>
      </c>
      <c r="K11" s="26" t="n">
        <f aca="false">I11-J11</f>
        <v>-36</v>
      </c>
      <c r="L11" s="70"/>
    </row>
    <row r="12" customFormat="false" ht="15" hidden="false" customHeight="false" outlineLevel="0" collapsed="false">
      <c r="A12" s="51" t="n">
        <v>9</v>
      </c>
      <c r="B12" s="61" t="s">
        <v>247</v>
      </c>
      <c r="C12" s="61" t="s">
        <v>544</v>
      </c>
      <c r="D12" s="61" t="s">
        <v>512</v>
      </c>
      <c r="E12" s="53" t="n">
        <v>48</v>
      </c>
      <c r="F12" s="53" t="n">
        <v>3</v>
      </c>
      <c r="G12" s="53" t="n">
        <v>4</v>
      </c>
      <c r="H12" s="53" t="n">
        <v>1</v>
      </c>
      <c r="I12" s="21" t="n">
        <f aca="false">SUM(E12:H12)</f>
        <v>56</v>
      </c>
      <c r="J12" s="53" t="n">
        <v>80</v>
      </c>
      <c r="K12" s="21" t="n">
        <f aca="false">I12-J12</f>
        <v>-24</v>
      </c>
      <c r="L12" s="69"/>
    </row>
    <row r="13" customFormat="false" ht="15" hidden="false" customHeight="false" outlineLevel="0" collapsed="false">
      <c r="A13" s="59"/>
      <c r="B13" s="28"/>
      <c r="C13" s="28" t="s">
        <v>11</v>
      </c>
      <c r="D13" s="28"/>
      <c r="E13" s="30" t="n">
        <f aca="false">SUM(E4:INDEX(E:E,ROW()-1))</f>
        <v>350</v>
      </c>
      <c r="F13" s="30" t="n">
        <f aca="false">SUM(F4:INDEX(F:F,ROW()-1))</f>
        <v>79</v>
      </c>
      <c r="G13" s="30" t="n">
        <f aca="false">SUM(G4:INDEX(G:G,ROW()-1))</f>
        <v>108</v>
      </c>
      <c r="H13" s="30" t="n">
        <f aca="false">SUM(H4:INDEX(H:H,ROW()-1))</f>
        <v>52</v>
      </c>
      <c r="I13" s="30" t="n">
        <f aca="false">SUM(I4:INDEX(I:I,ROW()-1))</f>
        <v>589</v>
      </c>
      <c r="J13" s="30" t="n">
        <f aca="false">SUM(J4:INDEX(J:J,ROW()-1))</f>
        <v>744</v>
      </c>
      <c r="K13" s="30" t="n">
        <f aca="false">I13-J13</f>
        <v>-155</v>
      </c>
      <c r="L13" s="71" t="n">
        <f aca="false">COUNTA(C4:INDEX(C:C,ROW()-1))</f>
        <v>9</v>
      </c>
    </row>
    <row r="14" customFormat="false" ht="15" hidden="false" customHeight="false" outlineLevel="0" collapsed="false">
      <c r="A14" s="72"/>
      <c r="B14" s="73"/>
      <c r="C14" s="73" t="s">
        <v>513</v>
      </c>
      <c r="D14" s="73"/>
      <c r="E14" s="74" t="n">
        <f aca="false">IFERROR(E13/$L13,0)</f>
        <v>38.8888888888889</v>
      </c>
      <c r="F14" s="74" t="n">
        <f aca="false">IFERROR(F13/$L13,0)</f>
        <v>8.77777777777778</v>
      </c>
      <c r="G14" s="74" t="n">
        <f aca="false">IFERROR(G13/$L13,0)</f>
        <v>12</v>
      </c>
      <c r="H14" s="74" t="n">
        <f aca="false">IFERROR(H13/$L13,0)</f>
        <v>5.77777777777778</v>
      </c>
      <c r="I14" s="74" t="n">
        <f aca="false">IFERROR(I13/$L13,0)</f>
        <v>65.4444444444444</v>
      </c>
      <c r="J14" s="74" t="n">
        <f aca="false">IFERROR(J13/$L13,0)</f>
        <v>82.6666666666667</v>
      </c>
      <c r="K14" s="74" t="n">
        <f aca="false">IFERROR(K13/$L13,0)</f>
        <v>-17.2222222222222</v>
      </c>
      <c r="L14" s="72"/>
    </row>
    <row r="17" customFormat="false" ht="16.15" hidden="false" customHeight="false" outlineLevel="0" collapsed="false">
      <c r="A17" s="48" t="s">
        <v>545</v>
      </c>
    </row>
    <row r="18" customFormat="false" ht="15" hidden="false" customHeight="true" outlineLevel="0" collapsed="false">
      <c r="A18" s="66" t="s">
        <v>234</v>
      </c>
      <c r="B18" s="66" t="s">
        <v>15</v>
      </c>
      <c r="C18" s="66" t="s">
        <v>493</v>
      </c>
      <c r="D18" s="66" t="s">
        <v>494</v>
      </c>
      <c r="E18" s="35" t="s">
        <v>495</v>
      </c>
      <c r="F18" s="35"/>
      <c r="G18" s="35" t="s">
        <v>496</v>
      </c>
      <c r="H18" s="35"/>
      <c r="I18" s="66" t="s">
        <v>497</v>
      </c>
      <c r="J18" s="66" t="s">
        <v>498</v>
      </c>
      <c r="K18" s="66" t="s">
        <v>499</v>
      </c>
      <c r="L18" s="66" t="s">
        <v>500</v>
      </c>
    </row>
    <row r="19" customFormat="false" ht="42" hidden="false" customHeight="true" outlineLevel="0" collapsed="false">
      <c r="A19" s="66"/>
      <c r="B19" s="66"/>
      <c r="C19" s="66"/>
      <c r="D19" s="66"/>
      <c r="E19" s="50" t="s">
        <v>501</v>
      </c>
      <c r="F19" s="50" t="s">
        <v>502</v>
      </c>
      <c r="G19" s="50" t="s">
        <v>501</v>
      </c>
      <c r="H19" s="50" t="s">
        <v>502</v>
      </c>
      <c r="I19" s="66"/>
      <c r="J19" s="66"/>
      <c r="K19" s="66"/>
      <c r="L19" s="66"/>
    </row>
    <row r="20" customFormat="false" ht="15" hidden="false" customHeight="false" outlineLevel="0" collapsed="false">
      <c r="A20" s="51" t="n">
        <v>1</v>
      </c>
      <c r="B20" s="61" t="s">
        <v>246</v>
      </c>
      <c r="C20" s="61" t="s">
        <v>546</v>
      </c>
      <c r="D20" s="61" t="s">
        <v>507</v>
      </c>
      <c r="E20" s="53" t="n">
        <v>44</v>
      </c>
      <c r="F20" s="53" t="n">
        <v>15</v>
      </c>
      <c r="G20" s="53" t="n">
        <v>20</v>
      </c>
      <c r="H20" s="53" t="n">
        <v>16</v>
      </c>
      <c r="I20" s="21" t="n">
        <f aca="false">SUM(E20:H20)</f>
        <v>95</v>
      </c>
      <c r="J20" s="53" t="n">
        <v>128</v>
      </c>
      <c r="K20" s="21" t="n">
        <f aca="false">I20-J20</f>
        <v>-33</v>
      </c>
      <c r="L20" s="69"/>
    </row>
    <row r="21" customFormat="false" ht="15" hidden="false" customHeight="false" outlineLevel="0" collapsed="false">
      <c r="A21" s="55" t="n">
        <v>2</v>
      </c>
      <c r="B21" s="63" t="s">
        <v>246</v>
      </c>
      <c r="C21" s="63" t="s">
        <v>547</v>
      </c>
      <c r="D21" s="63" t="s">
        <v>507</v>
      </c>
      <c r="E21" s="57" t="n">
        <v>76</v>
      </c>
      <c r="F21" s="57" t="n">
        <v>12</v>
      </c>
      <c r="G21" s="57" t="n">
        <v>24</v>
      </c>
      <c r="H21" s="57" t="n">
        <v>12</v>
      </c>
      <c r="I21" s="26" t="n">
        <f aca="false">SUM(E21:H21)</f>
        <v>124</v>
      </c>
      <c r="J21" s="57" t="n">
        <v>148</v>
      </c>
      <c r="K21" s="26" t="n">
        <f aca="false">I21-J21</f>
        <v>-24</v>
      </c>
      <c r="L21" s="70"/>
    </row>
    <row r="22" customFormat="false" ht="15" hidden="false" customHeight="false" outlineLevel="0" collapsed="false">
      <c r="A22" s="51" t="n">
        <v>3</v>
      </c>
      <c r="B22" s="61" t="s">
        <v>246</v>
      </c>
      <c r="C22" s="61" t="s">
        <v>548</v>
      </c>
      <c r="D22" s="61" t="s">
        <v>520</v>
      </c>
      <c r="E22" s="53" t="n">
        <v>67</v>
      </c>
      <c r="F22" s="53" t="n">
        <v>30</v>
      </c>
      <c r="G22" s="53" t="n">
        <v>28</v>
      </c>
      <c r="H22" s="53" t="n">
        <v>16</v>
      </c>
      <c r="I22" s="21" t="n">
        <f aca="false">SUM(E22:H22)</f>
        <v>141</v>
      </c>
      <c r="J22" s="53" t="n">
        <v>152</v>
      </c>
      <c r="K22" s="21" t="n">
        <f aca="false">I22-J22</f>
        <v>-11</v>
      </c>
      <c r="L22" s="69"/>
    </row>
    <row r="23" customFormat="false" ht="15" hidden="false" customHeight="false" outlineLevel="0" collapsed="false">
      <c r="A23" s="55" t="n">
        <v>4</v>
      </c>
      <c r="B23" s="63" t="s">
        <v>246</v>
      </c>
      <c r="C23" s="63" t="s">
        <v>549</v>
      </c>
      <c r="D23" s="63" t="s">
        <v>512</v>
      </c>
      <c r="E23" s="57" t="n">
        <v>36</v>
      </c>
      <c r="F23" s="57" t="n">
        <v>32</v>
      </c>
      <c r="G23" s="57" t="n">
        <v>16</v>
      </c>
      <c r="H23" s="57" t="n">
        <v>11</v>
      </c>
      <c r="I23" s="26" t="n">
        <f aca="false">SUM(E23:H23)</f>
        <v>95</v>
      </c>
      <c r="J23" s="57" t="n">
        <v>126</v>
      </c>
      <c r="K23" s="26" t="n">
        <f aca="false">I23-J23</f>
        <v>-31</v>
      </c>
      <c r="L23" s="70"/>
    </row>
    <row r="24" customFormat="false" ht="15" hidden="false" customHeight="false" outlineLevel="0" collapsed="false">
      <c r="A24" s="51" t="n">
        <v>5</v>
      </c>
      <c r="B24" s="61" t="s">
        <v>246</v>
      </c>
      <c r="C24" s="61" t="s">
        <v>550</v>
      </c>
      <c r="D24" s="61" t="s">
        <v>512</v>
      </c>
      <c r="E24" s="53" t="n">
        <v>24</v>
      </c>
      <c r="F24" s="53" t="n">
        <v>28</v>
      </c>
      <c r="G24" s="53" t="n">
        <v>19</v>
      </c>
      <c r="H24" s="53" t="n">
        <v>11</v>
      </c>
      <c r="I24" s="21" t="n">
        <f aca="false">SUM(E24:H24)</f>
        <v>82</v>
      </c>
      <c r="J24" s="53" t="n">
        <v>132</v>
      </c>
      <c r="K24" s="21" t="n">
        <f aca="false">I24-J24</f>
        <v>-50</v>
      </c>
      <c r="L24" s="69"/>
    </row>
    <row r="25" customFormat="false" ht="15" hidden="false" customHeight="false" outlineLevel="0" collapsed="false">
      <c r="A25" s="59"/>
      <c r="B25" s="28"/>
      <c r="C25" s="28" t="s">
        <v>11</v>
      </c>
      <c r="D25" s="28"/>
      <c r="E25" s="30" t="n">
        <f aca="false">SUM(E20:INDEX(E:E,ROW()-1))</f>
        <v>247</v>
      </c>
      <c r="F25" s="30" t="n">
        <f aca="false">SUM(F20:INDEX(F:F,ROW()-1))</f>
        <v>117</v>
      </c>
      <c r="G25" s="30" t="n">
        <f aca="false">SUM(G20:INDEX(G:G,ROW()-1))</f>
        <v>107</v>
      </c>
      <c r="H25" s="30" t="n">
        <f aca="false">SUM(H20:INDEX(H:H,ROW()-1))</f>
        <v>66</v>
      </c>
      <c r="I25" s="30" t="n">
        <f aca="false">SUM(I20:INDEX(I:I,ROW()-1))</f>
        <v>537</v>
      </c>
      <c r="J25" s="30" t="n">
        <f aca="false">SUM(J20:INDEX(J:J,ROW()-1))</f>
        <v>686</v>
      </c>
      <c r="K25" s="30" t="n">
        <f aca="false">I25-J25</f>
        <v>-149</v>
      </c>
      <c r="L25" s="71" t="n">
        <f aca="false">COUNTA(C20:INDEX(C:C,ROW()-1))</f>
        <v>5</v>
      </c>
    </row>
    <row r="26" customFormat="false" ht="15" hidden="false" customHeight="false" outlineLevel="0" collapsed="false">
      <c r="A26" s="72"/>
      <c r="B26" s="73"/>
      <c r="C26" s="73" t="s">
        <v>513</v>
      </c>
      <c r="D26" s="73"/>
      <c r="E26" s="74" t="n">
        <f aca="false">IFERROR(E25/$L25,0)</f>
        <v>49.4</v>
      </c>
      <c r="F26" s="74" t="n">
        <f aca="false">IFERROR(F25/$L25,0)</f>
        <v>23.4</v>
      </c>
      <c r="G26" s="74" t="n">
        <f aca="false">IFERROR(G25/$L25,0)</f>
        <v>21.4</v>
      </c>
      <c r="H26" s="74" t="n">
        <f aca="false">IFERROR(H25/$L25,0)</f>
        <v>13.2</v>
      </c>
      <c r="I26" s="74" t="n">
        <f aca="false">IFERROR(I25/$L25,0)</f>
        <v>107.4</v>
      </c>
      <c r="J26" s="74" t="n">
        <f aca="false">IFERROR(J25/$L25,0)</f>
        <v>137.2</v>
      </c>
      <c r="K26" s="74" t="n">
        <f aca="false">IFERROR(K25/$L25,0)</f>
        <v>-29.8</v>
      </c>
      <c r="L26" s="72"/>
    </row>
    <row r="29" customFormat="false" ht="16.15" hidden="false" customHeight="false" outlineLevel="0" collapsed="false">
      <c r="A29" s="48" t="s">
        <v>551</v>
      </c>
    </row>
    <row r="30" customFormat="false" ht="15" hidden="false" customHeight="true" outlineLevel="0" collapsed="false">
      <c r="A30" s="66" t="s">
        <v>234</v>
      </c>
      <c r="B30" s="66" t="s">
        <v>15</v>
      </c>
      <c r="C30" s="66" t="s">
        <v>493</v>
      </c>
      <c r="D30" s="66" t="s">
        <v>494</v>
      </c>
      <c r="E30" s="35" t="s">
        <v>495</v>
      </c>
      <c r="F30" s="35"/>
      <c r="G30" s="35" t="s">
        <v>496</v>
      </c>
      <c r="H30" s="35"/>
      <c r="I30" s="66" t="s">
        <v>497</v>
      </c>
      <c r="J30" s="66" t="s">
        <v>498</v>
      </c>
      <c r="K30" s="66" t="s">
        <v>499</v>
      </c>
      <c r="L30" s="66" t="s">
        <v>500</v>
      </c>
    </row>
    <row r="31" customFormat="false" ht="42" hidden="false" customHeight="true" outlineLevel="0" collapsed="false">
      <c r="A31" s="66"/>
      <c r="B31" s="66"/>
      <c r="C31" s="66"/>
      <c r="D31" s="66"/>
      <c r="E31" s="50" t="s">
        <v>501</v>
      </c>
      <c r="F31" s="50" t="s">
        <v>502</v>
      </c>
      <c r="G31" s="50" t="s">
        <v>501</v>
      </c>
      <c r="H31" s="50" t="s">
        <v>502</v>
      </c>
      <c r="I31" s="66"/>
      <c r="J31" s="66"/>
      <c r="K31" s="66"/>
      <c r="L31" s="66"/>
    </row>
    <row r="32" customFormat="false" ht="15" hidden="false" customHeight="false" outlineLevel="0" collapsed="false">
      <c r="A32" s="51" t="n">
        <v>1</v>
      </c>
      <c r="B32" s="61" t="s">
        <v>249</v>
      </c>
      <c r="C32" s="61" t="s">
        <v>552</v>
      </c>
      <c r="D32" s="61" t="s">
        <v>507</v>
      </c>
      <c r="E32" s="53" t="n">
        <v>39</v>
      </c>
      <c r="F32" s="53" t="n">
        <v>10</v>
      </c>
      <c r="G32" s="53" t="n">
        <v>15</v>
      </c>
      <c r="H32" s="53" t="n">
        <v>8</v>
      </c>
      <c r="I32" s="21" t="n">
        <f aca="false">SUM(E32:H32)</f>
        <v>72</v>
      </c>
      <c r="J32" s="53" t="n">
        <v>102</v>
      </c>
      <c r="K32" s="21" t="n">
        <f aca="false">I32-J32</f>
        <v>-30</v>
      </c>
      <c r="L32" s="69"/>
    </row>
    <row r="33" customFormat="false" ht="15" hidden="false" customHeight="false" outlineLevel="0" collapsed="false">
      <c r="A33" s="55" t="n">
        <v>2</v>
      </c>
      <c r="B33" s="63" t="s">
        <v>249</v>
      </c>
      <c r="C33" s="63" t="s">
        <v>553</v>
      </c>
      <c r="D33" s="63" t="s">
        <v>507</v>
      </c>
      <c r="E33" s="57" t="n">
        <v>31</v>
      </c>
      <c r="F33" s="57" t="n">
        <v>11</v>
      </c>
      <c r="G33" s="57" t="n">
        <v>13</v>
      </c>
      <c r="H33" s="57" t="n">
        <v>11</v>
      </c>
      <c r="I33" s="26" t="n">
        <f aca="false">SUM(E33:H33)</f>
        <v>66</v>
      </c>
      <c r="J33" s="57" t="n">
        <v>98</v>
      </c>
      <c r="K33" s="26" t="n">
        <f aca="false">I33-J33</f>
        <v>-32</v>
      </c>
      <c r="L33" s="70"/>
    </row>
    <row r="34" customFormat="false" ht="15" hidden="false" customHeight="false" outlineLevel="0" collapsed="false">
      <c r="A34" s="51" t="n">
        <v>3</v>
      </c>
      <c r="B34" s="61" t="s">
        <v>249</v>
      </c>
      <c r="C34" s="61" t="s">
        <v>554</v>
      </c>
      <c r="D34" s="61" t="s">
        <v>507</v>
      </c>
      <c r="E34" s="53" t="n">
        <v>30</v>
      </c>
      <c r="F34" s="53" t="n">
        <v>9</v>
      </c>
      <c r="G34" s="53" t="n">
        <v>12</v>
      </c>
      <c r="H34" s="53" t="n">
        <v>7</v>
      </c>
      <c r="I34" s="21" t="n">
        <f aca="false">SUM(E34:H34)</f>
        <v>58</v>
      </c>
      <c r="J34" s="53" t="n">
        <v>88</v>
      </c>
      <c r="K34" s="21" t="n">
        <f aca="false">I34-J34</f>
        <v>-30</v>
      </c>
      <c r="L34" s="69"/>
    </row>
    <row r="35" customFormat="false" ht="15" hidden="false" customHeight="false" outlineLevel="0" collapsed="false">
      <c r="A35" s="55" t="n">
        <v>4</v>
      </c>
      <c r="B35" s="63" t="s">
        <v>249</v>
      </c>
      <c r="C35" s="63" t="s">
        <v>555</v>
      </c>
      <c r="D35" s="63" t="s">
        <v>507</v>
      </c>
      <c r="E35" s="57" t="n">
        <v>33</v>
      </c>
      <c r="F35" s="57" t="n">
        <v>5</v>
      </c>
      <c r="G35" s="57" t="n">
        <v>12</v>
      </c>
      <c r="H35" s="57" t="n">
        <v>6</v>
      </c>
      <c r="I35" s="26" t="n">
        <f aca="false">SUM(E35:H35)</f>
        <v>56</v>
      </c>
      <c r="J35" s="57" t="n">
        <v>96</v>
      </c>
      <c r="K35" s="26" t="n">
        <f aca="false">I35-J35</f>
        <v>-40</v>
      </c>
      <c r="L35" s="70"/>
    </row>
    <row r="36" customFormat="false" ht="15" hidden="false" customHeight="false" outlineLevel="0" collapsed="false">
      <c r="A36" s="51" t="n">
        <v>5</v>
      </c>
      <c r="B36" s="61" t="s">
        <v>249</v>
      </c>
      <c r="C36" s="61" t="s">
        <v>556</v>
      </c>
      <c r="D36" s="61" t="s">
        <v>520</v>
      </c>
      <c r="E36" s="53" t="n">
        <v>73</v>
      </c>
      <c r="F36" s="53" t="n">
        <v>23</v>
      </c>
      <c r="G36" s="53" t="n">
        <v>18</v>
      </c>
      <c r="H36" s="53" t="n">
        <v>7</v>
      </c>
      <c r="I36" s="21" t="n">
        <f aca="false">SUM(E36:H36)</f>
        <v>121</v>
      </c>
      <c r="J36" s="53" t="n">
        <v>136</v>
      </c>
      <c r="K36" s="21" t="n">
        <f aca="false">I36-J36</f>
        <v>-15</v>
      </c>
      <c r="L36" s="69"/>
    </row>
    <row r="37" customFormat="false" ht="15" hidden="false" customHeight="false" outlineLevel="0" collapsed="false">
      <c r="A37" s="55" t="n">
        <v>6</v>
      </c>
      <c r="B37" s="63" t="s">
        <v>249</v>
      </c>
      <c r="C37" s="63" t="s">
        <v>557</v>
      </c>
      <c r="D37" s="63" t="s">
        <v>512</v>
      </c>
      <c r="E37" s="57" t="n">
        <v>36</v>
      </c>
      <c r="F37" s="57" t="n">
        <v>8</v>
      </c>
      <c r="G37" s="57" t="n">
        <v>10</v>
      </c>
      <c r="H37" s="57" t="n">
        <v>7</v>
      </c>
      <c r="I37" s="26" t="n">
        <f aca="false">SUM(E37:H37)</f>
        <v>61</v>
      </c>
      <c r="J37" s="57" t="n">
        <v>92</v>
      </c>
      <c r="K37" s="26" t="n">
        <f aca="false">I37-J37</f>
        <v>-31</v>
      </c>
      <c r="L37" s="70"/>
    </row>
    <row r="38" customFormat="false" ht="15" hidden="false" customHeight="false" outlineLevel="0" collapsed="false">
      <c r="A38" s="59"/>
      <c r="B38" s="28"/>
      <c r="C38" s="28" t="s">
        <v>11</v>
      </c>
      <c r="D38" s="28"/>
      <c r="E38" s="30" t="n">
        <f aca="false">SUM(E32:INDEX(E:E,ROW()-1))</f>
        <v>242</v>
      </c>
      <c r="F38" s="30" t="n">
        <f aca="false">SUM(F32:INDEX(F:F,ROW()-1))</f>
        <v>66</v>
      </c>
      <c r="G38" s="30" t="n">
        <f aca="false">SUM(G32:INDEX(G:G,ROW()-1))</f>
        <v>80</v>
      </c>
      <c r="H38" s="30" t="n">
        <f aca="false">SUM(H32:INDEX(H:H,ROW()-1))</f>
        <v>46</v>
      </c>
      <c r="I38" s="30" t="n">
        <f aca="false">SUM(I32:INDEX(I:I,ROW()-1))</f>
        <v>434</v>
      </c>
      <c r="J38" s="30" t="n">
        <f aca="false">SUM(J32:INDEX(J:J,ROW()-1))</f>
        <v>612</v>
      </c>
      <c r="K38" s="30" t="n">
        <f aca="false">I38-J38</f>
        <v>-178</v>
      </c>
      <c r="L38" s="71" t="n">
        <f aca="false">COUNTA(C32:INDEX(C:C,ROW()-1))</f>
        <v>6</v>
      </c>
    </row>
    <row r="39" customFormat="false" ht="15" hidden="false" customHeight="false" outlineLevel="0" collapsed="false">
      <c r="A39" s="72"/>
      <c r="B39" s="73"/>
      <c r="C39" s="73" t="s">
        <v>513</v>
      </c>
      <c r="D39" s="73"/>
      <c r="E39" s="74" t="n">
        <f aca="false">IFERROR(E38/$L38,0)</f>
        <v>40.3333333333333</v>
      </c>
      <c r="F39" s="74" t="n">
        <f aca="false">IFERROR(F38/$L38,0)</f>
        <v>11</v>
      </c>
      <c r="G39" s="74" t="n">
        <f aca="false">IFERROR(G38/$L38,0)</f>
        <v>13.3333333333333</v>
      </c>
      <c r="H39" s="74" t="n">
        <f aca="false">IFERROR(H38/$L38,0)</f>
        <v>7.66666666666667</v>
      </c>
      <c r="I39" s="74" t="n">
        <f aca="false">IFERROR(I38/$L38,0)</f>
        <v>72.3333333333333</v>
      </c>
      <c r="J39" s="74" t="n">
        <f aca="false">IFERROR(J38/$L38,0)</f>
        <v>102</v>
      </c>
      <c r="K39" s="74" t="n">
        <f aca="false">IFERROR(K38/$L38,0)</f>
        <v>-29.6666666666667</v>
      </c>
      <c r="L39" s="72"/>
    </row>
    <row r="42" customFormat="false" ht="16.15" hidden="false" customHeight="false" outlineLevel="0" collapsed="false">
      <c r="A42" s="48" t="s">
        <v>558</v>
      </c>
    </row>
    <row r="43" customFormat="false" ht="15" hidden="false" customHeight="true" outlineLevel="0" collapsed="false">
      <c r="A43" s="66" t="s">
        <v>234</v>
      </c>
      <c r="B43" s="66" t="s">
        <v>15</v>
      </c>
      <c r="C43" s="66" t="s">
        <v>493</v>
      </c>
      <c r="D43" s="66" t="s">
        <v>494</v>
      </c>
      <c r="E43" s="35" t="s">
        <v>495</v>
      </c>
      <c r="F43" s="35"/>
      <c r="G43" s="35" t="s">
        <v>496</v>
      </c>
      <c r="H43" s="35"/>
      <c r="I43" s="66" t="s">
        <v>497</v>
      </c>
      <c r="J43" s="66" t="s">
        <v>498</v>
      </c>
      <c r="K43" s="66" t="s">
        <v>499</v>
      </c>
      <c r="L43" s="66" t="s">
        <v>500</v>
      </c>
    </row>
    <row r="44" customFormat="false" ht="42" hidden="false" customHeight="true" outlineLevel="0" collapsed="false">
      <c r="A44" s="66"/>
      <c r="B44" s="66"/>
      <c r="C44" s="66"/>
      <c r="D44" s="66"/>
      <c r="E44" s="50" t="s">
        <v>501</v>
      </c>
      <c r="F44" s="50" t="s">
        <v>502</v>
      </c>
      <c r="G44" s="50" t="s">
        <v>501</v>
      </c>
      <c r="H44" s="50" t="s">
        <v>502</v>
      </c>
      <c r="I44" s="66"/>
      <c r="J44" s="66"/>
      <c r="K44" s="66"/>
      <c r="L44" s="66"/>
    </row>
    <row r="45" customFormat="false" ht="15" hidden="false" customHeight="false" outlineLevel="0" collapsed="false">
      <c r="A45" s="51" t="n">
        <v>1</v>
      </c>
      <c r="B45" s="61" t="s">
        <v>252</v>
      </c>
      <c r="C45" s="61" t="s">
        <v>559</v>
      </c>
      <c r="D45" s="61" t="s">
        <v>504</v>
      </c>
      <c r="E45" s="53" t="n">
        <v>41</v>
      </c>
      <c r="F45" s="53" t="n">
        <v>16</v>
      </c>
      <c r="G45" s="53" t="n">
        <v>40</v>
      </c>
      <c r="H45" s="53" t="n">
        <v>20</v>
      </c>
      <c r="I45" s="21" t="n">
        <f aca="false">SUM(E45:H45)</f>
        <v>117</v>
      </c>
      <c r="J45" s="53" t="n">
        <v>167</v>
      </c>
      <c r="K45" s="21" t="n">
        <f aca="false">I45-J45</f>
        <v>-50</v>
      </c>
      <c r="L45" s="69"/>
    </row>
    <row r="46" customFormat="false" ht="15" hidden="false" customHeight="false" outlineLevel="0" collapsed="false">
      <c r="A46" s="55" t="n">
        <v>2</v>
      </c>
      <c r="B46" s="63" t="s">
        <v>252</v>
      </c>
      <c r="C46" s="63" t="s">
        <v>560</v>
      </c>
      <c r="D46" s="63" t="s">
        <v>512</v>
      </c>
      <c r="E46" s="57" t="n">
        <v>60</v>
      </c>
      <c r="F46" s="57" t="n">
        <v>20</v>
      </c>
      <c r="G46" s="57" t="n">
        <v>32</v>
      </c>
      <c r="H46" s="57" t="n">
        <v>14</v>
      </c>
      <c r="I46" s="26" t="n">
        <f aca="false">SUM(E46:H46)</f>
        <v>126</v>
      </c>
      <c r="J46" s="57" t="n">
        <v>160</v>
      </c>
      <c r="K46" s="26" t="n">
        <f aca="false">I46-J46</f>
        <v>-34</v>
      </c>
      <c r="L46" s="70"/>
    </row>
    <row r="47" customFormat="false" ht="15" hidden="false" customHeight="false" outlineLevel="0" collapsed="false">
      <c r="A47" s="59"/>
      <c r="B47" s="28"/>
      <c r="C47" s="28" t="s">
        <v>11</v>
      </c>
      <c r="D47" s="28"/>
      <c r="E47" s="30" t="n">
        <f aca="false">SUM(E45:INDEX(E:E,ROW()-1))</f>
        <v>101</v>
      </c>
      <c r="F47" s="30" t="n">
        <f aca="false">SUM(F45:INDEX(F:F,ROW()-1))</f>
        <v>36</v>
      </c>
      <c r="G47" s="30" t="n">
        <f aca="false">SUM(G45:INDEX(G:G,ROW()-1))</f>
        <v>72</v>
      </c>
      <c r="H47" s="30" t="n">
        <f aca="false">SUM(H45:INDEX(H:H,ROW()-1))</f>
        <v>34</v>
      </c>
      <c r="I47" s="30" t="n">
        <f aca="false">SUM(I45:INDEX(I:I,ROW()-1))</f>
        <v>243</v>
      </c>
      <c r="J47" s="30" t="n">
        <f aca="false">SUM(J45:INDEX(J:J,ROW()-1))</f>
        <v>327</v>
      </c>
      <c r="K47" s="30" t="n">
        <f aca="false">I47-J47</f>
        <v>-84</v>
      </c>
      <c r="L47" s="71" t="n">
        <f aca="false">COUNTA(C45:INDEX(C:C,ROW()-1))</f>
        <v>2</v>
      </c>
    </row>
    <row r="48" customFormat="false" ht="15" hidden="false" customHeight="false" outlineLevel="0" collapsed="false">
      <c r="A48" s="72"/>
      <c r="B48" s="73"/>
      <c r="C48" s="73" t="s">
        <v>513</v>
      </c>
      <c r="D48" s="73"/>
      <c r="E48" s="74" t="n">
        <f aca="false">IFERROR(E47/$L47,0)</f>
        <v>50.5</v>
      </c>
      <c r="F48" s="74" t="n">
        <f aca="false">IFERROR(F47/$L47,0)</f>
        <v>18</v>
      </c>
      <c r="G48" s="74" t="n">
        <f aca="false">IFERROR(G47/$L47,0)</f>
        <v>36</v>
      </c>
      <c r="H48" s="74" t="n">
        <f aca="false">IFERROR(H47/$L47,0)</f>
        <v>17</v>
      </c>
      <c r="I48" s="74" t="n">
        <f aca="false">IFERROR(I47/$L47,0)</f>
        <v>121.5</v>
      </c>
      <c r="J48" s="74" t="n">
        <f aca="false">IFERROR(J47/$L47,0)</f>
        <v>163.5</v>
      </c>
      <c r="K48" s="74" t="n">
        <f aca="false">IFERROR(K47/$L47,0)</f>
        <v>-42</v>
      </c>
      <c r="L48" s="72"/>
    </row>
    <row r="51" customFormat="false" ht="15" hidden="false" customHeight="false" outlineLevel="0" collapsed="false">
      <c r="A51" s="49" t="s">
        <v>534</v>
      </c>
    </row>
  </sheetData>
  <mergeCells count="40">
    <mergeCell ref="A2:A3"/>
    <mergeCell ref="B2:B3"/>
    <mergeCell ref="C2:C3"/>
    <mergeCell ref="D2:D3"/>
    <mergeCell ref="E2:F2"/>
    <mergeCell ref="G2:H2"/>
    <mergeCell ref="I2:I3"/>
    <mergeCell ref="J2:J3"/>
    <mergeCell ref="K2:K3"/>
    <mergeCell ref="L2:L3"/>
    <mergeCell ref="A18:A19"/>
    <mergeCell ref="B18:B19"/>
    <mergeCell ref="C18:C19"/>
    <mergeCell ref="D18:D19"/>
    <mergeCell ref="E18:F18"/>
    <mergeCell ref="G18:H18"/>
    <mergeCell ref="I18:I19"/>
    <mergeCell ref="J18:J19"/>
    <mergeCell ref="K18:K19"/>
    <mergeCell ref="L18:L19"/>
    <mergeCell ref="A30:A31"/>
    <mergeCell ref="B30:B31"/>
    <mergeCell ref="C30:C31"/>
    <mergeCell ref="D30:D31"/>
    <mergeCell ref="E30:F30"/>
    <mergeCell ref="G30:H30"/>
    <mergeCell ref="I30:I31"/>
    <mergeCell ref="J30:J31"/>
    <mergeCell ref="K30:K31"/>
    <mergeCell ref="L30:L31"/>
    <mergeCell ref="A43:A44"/>
    <mergeCell ref="B43:B44"/>
    <mergeCell ref="C43:C44"/>
    <mergeCell ref="D43:D44"/>
    <mergeCell ref="E43:F43"/>
    <mergeCell ref="G43:H43"/>
    <mergeCell ref="I43:I44"/>
    <mergeCell ref="J43:J44"/>
    <mergeCell ref="K43:K44"/>
    <mergeCell ref="L43:L44"/>
  </mergeCells>
  <conditionalFormatting sqref="K4:K14">
    <cfRule type="cellIs" priority="2" operator="lessThan" aboveAverage="0" equalAverage="0" bottom="0" percent="0" rank="0" text="" dxfId="7">
      <formula>0</formula>
    </cfRule>
  </conditionalFormatting>
  <conditionalFormatting sqref="K20:K26">
    <cfRule type="cellIs" priority="3" operator="lessThan" aboveAverage="0" equalAverage="0" bottom="0" percent="0" rank="0" text="" dxfId="7">
      <formula>0</formula>
    </cfRule>
  </conditionalFormatting>
  <conditionalFormatting sqref="K32:K39">
    <cfRule type="cellIs" priority="4" operator="lessThan" aboveAverage="0" equalAverage="0" bottom="0" percent="0" rank="0" text="" dxfId="7">
      <formula>0</formula>
    </cfRule>
  </conditionalFormatting>
  <conditionalFormatting sqref="K45:K48"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8" min="5" style="0" width="9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6.15" hidden="false" customHeight="false" outlineLevel="0" collapsed="false">
      <c r="A1" s="48" t="s">
        <v>561</v>
      </c>
    </row>
    <row r="2" customFormat="false" ht="15" hidden="false" customHeight="true" outlineLevel="0" collapsed="false">
      <c r="A2" s="66" t="s">
        <v>234</v>
      </c>
      <c r="B2" s="66" t="s">
        <v>15</v>
      </c>
      <c r="C2" s="66" t="s">
        <v>493</v>
      </c>
      <c r="D2" s="66" t="s">
        <v>494</v>
      </c>
      <c r="E2" s="35" t="s">
        <v>495</v>
      </c>
      <c r="F2" s="35"/>
      <c r="G2" s="35" t="s">
        <v>496</v>
      </c>
      <c r="H2" s="35"/>
      <c r="I2" s="66" t="s">
        <v>497</v>
      </c>
      <c r="J2" s="66" t="s">
        <v>498</v>
      </c>
      <c r="K2" s="66" t="s">
        <v>499</v>
      </c>
      <c r="L2" s="66" t="s">
        <v>500</v>
      </c>
    </row>
    <row r="3" customFormat="false" ht="42" hidden="false" customHeight="true" outlineLevel="0" collapsed="false">
      <c r="A3" s="66"/>
      <c r="B3" s="66"/>
      <c r="C3" s="66"/>
      <c r="D3" s="66"/>
      <c r="E3" s="50" t="s">
        <v>501</v>
      </c>
      <c r="F3" s="50" t="s">
        <v>502</v>
      </c>
      <c r="G3" s="50" t="s">
        <v>501</v>
      </c>
      <c r="H3" s="50" t="s">
        <v>502</v>
      </c>
      <c r="I3" s="66"/>
      <c r="J3" s="66"/>
      <c r="K3" s="66"/>
      <c r="L3" s="66"/>
    </row>
    <row r="4" customFormat="false" ht="15" hidden="false" customHeight="false" outlineLevel="0" collapsed="false">
      <c r="A4" s="51" t="n">
        <v>1</v>
      </c>
      <c r="B4" s="61" t="s">
        <v>380</v>
      </c>
      <c r="C4" s="61" t="s">
        <v>562</v>
      </c>
      <c r="D4" s="61" t="s">
        <v>520</v>
      </c>
      <c r="E4" s="53" t="n">
        <v>42</v>
      </c>
      <c r="F4" s="53" t="n">
        <v>12</v>
      </c>
      <c r="G4" s="53" t="n">
        <v>14</v>
      </c>
      <c r="H4" s="53" t="n">
        <v>7</v>
      </c>
      <c r="I4" s="21" t="n">
        <f aca="false">SUM(E4:H4)</f>
        <v>75</v>
      </c>
      <c r="J4" s="53" t="n">
        <v>86</v>
      </c>
      <c r="K4" s="21" t="n">
        <f aca="false">I4-J4</f>
        <v>-11</v>
      </c>
      <c r="L4" s="69"/>
    </row>
    <row r="5" customFormat="false" ht="15" hidden="false" customHeight="false" outlineLevel="0" collapsed="false">
      <c r="A5" s="55" t="n">
        <v>2</v>
      </c>
      <c r="B5" s="63" t="s">
        <v>380</v>
      </c>
      <c r="C5" s="63" t="s">
        <v>563</v>
      </c>
      <c r="D5" s="63" t="s">
        <v>520</v>
      </c>
      <c r="E5" s="57" t="n">
        <v>35</v>
      </c>
      <c r="F5" s="57" t="n">
        <v>7</v>
      </c>
      <c r="G5" s="57" t="n">
        <v>11</v>
      </c>
      <c r="H5" s="57" t="n">
        <v>4</v>
      </c>
      <c r="I5" s="26" t="n">
        <f aca="false">SUM(E5:H5)</f>
        <v>57</v>
      </c>
      <c r="J5" s="57" t="n">
        <v>80</v>
      </c>
      <c r="K5" s="26" t="n">
        <f aca="false">I5-J5</f>
        <v>-23</v>
      </c>
      <c r="L5" s="70"/>
    </row>
    <row r="6" customFormat="false" ht="15" hidden="false" customHeight="false" outlineLevel="0" collapsed="false">
      <c r="A6" s="51" t="n">
        <v>3</v>
      </c>
      <c r="B6" s="61" t="s">
        <v>380</v>
      </c>
      <c r="C6" s="61" t="s">
        <v>564</v>
      </c>
      <c r="D6" s="61" t="s">
        <v>520</v>
      </c>
      <c r="E6" s="53" t="n">
        <v>33</v>
      </c>
      <c r="F6" s="53" t="n">
        <v>5</v>
      </c>
      <c r="G6" s="53" t="n">
        <v>20</v>
      </c>
      <c r="H6" s="53" t="n">
        <v>6</v>
      </c>
      <c r="I6" s="21" t="n">
        <f aca="false">SUM(E6:H6)</f>
        <v>64</v>
      </c>
      <c r="J6" s="53" t="n">
        <v>83</v>
      </c>
      <c r="K6" s="21" t="n">
        <f aca="false">I6-J6</f>
        <v>-19</v>
      </c>
      <c r="L6" s="69"/>
    </row>
    <row r="7" customFormat="false" ht="15" hidden="false" customHeight="false" outlineLevel="0" collapsed="false">
      <c r="A7" s="55" t="n">
        <v>4</v>
      </c>
      <c r="B7" s="63" t="s">
        <v>380</v>
      </c>
      <c r="C7" s="63" t="s">
        <v>565</v>
      </c>
      <c r="D7" s="63" t="s">
        <v>504</v>
      </c>
      <c r="E7" s="57" t="n">
        <v>20</v>
      </c>
      <c r="F7" s="57" t="n">
        <v>6</v>
      </c>
      <c r="G7" s="57" t="n">
        <v>22</v>
      </c>
      <c r="H7" s="57" t="n">
        <v>3</v>
      </c>
      <c r="I7" s="26" t="n">
        <f aca="false">SUM(E7:H7)</f>
        <v>51</v>
      </c>
      <c r="J7" s="57" t="n">
        <v>77</v>
      </c>
      <c r="K7" s="26" t="n">
        <f aca="false">I7-J7</f>
        <v>-26</v>
      </c>
      <c r="L7" s="70"/>
    </row>
    <row r="8" customFormat="false" ht="15" hidden="false" customHeight="false" outlineLevel="0" collapsed="false">
      <c r="A8" s="51" t="n">
        <v>5</v>
      </c>
      <c r="B8" s="61" t="s">
        <v>380</v>
      </c>
      <c r="C8" s="61" t="s">
        <v>566</v>
      </c>
      <c r="D8" s="61" t="s">
        <v>507</v>
      </c>
      <c r="E8" s="53" t="n">
        <v>27</v>
      </c>
      <c r="F8" s="53" t="n">
        <v>21</v>
      </c>
      <c r="G8" s="53" t="n">
        <v>25</v>
      </c>
      <c r="H8" s="53" t="n">
        <v>8</v>
      </c>
      <c r="I8" s="21" t="n">
        <f aca="false">SUM(E8:H8)</f>
        <v>81</v>
      </c>
      <c r="J8" s="53" t="n">
        <v>88</v>
      </c>
      <c r="K8" s="21" t="n">
        <f aca="false">I8-J8</f>
        <v>-7</v>
      </c>
      <c r="L8" s="69"/>
    </row>
    <row r="9" customFormat="false" ht="15" hidden="false" customHeight="false" outlineLevel="0" collapsed="false">
      <c r="A9" s="55" t="n">
        <v>6</v>
      </c>
      <c r="B9" s="63" t="s">
        <v>380</v>
      </c>
      <c r="C9" s="63" t="s">
        <v>567</v>
      </c>
      <c r="D9" s="63" t="s">
        <v>507</v>
      </c>
      <c r="E9" s="57" t="n">
        <v>29</v>
      </c>
      <c r="F9" s="57" t="n">
        <v>11</v>
      </c>
      <c r="G9" s="57" t="n">
        <v>21</v>
      </c>
      <c r="H9" s="57" t="n">
        <v>8</v>
      </c>
      <c r="I9" s="26" t="n">
        <f aca="false">SUM(E9:H9)</f>
        <v>69</v>
      </c>
      <c r="J9" s="57" t="n">
        <v>89</v>
      </c>
      <c r="K9" s="26" t="n">
        <f aca="false">I9-J9</f>
        <v>-20</v>
      </c>
      <c r="L9" s="70"/>
    </row>
    <row r="10" customFormat="false" ht="15" hidden="false" customHeight="false" outlineLevel="0" collapsed="false">
      <c r="A10" s="51" t="n">
        <v>7</v>
      </c>
      <c r="B10" s="61" t="s">
        <v>380</v>
      </c>
      <c r="C10" s="61" t="s">
        <v>568</v>
      </c>
      <c r="D10" s="61" t="s">
        <v>507</v>
      </c>
      <c r="E10" s="53" t="n">
        <v>42</v>
      </c>
      <c r="F10" s="53" t="n">
        <v>8</v>
      </c>
      <c r="G10" s="53" t="n">
        <v>13</v>
      </c>
      <c r="H10" s="53" t="n">
        <v>4</v>
      </c>
      <c r="I10" s="21" t="n">
        <f aca="false">SUM(E10:H10)</f>
        <v>67</v>
      </c>
      <c r="J10" s="53" t="n">
        <v>86</v>
      </c>
      <c r="K10" s="21" t="n">
        <f aca="false">I10-J10</f>
        <v>-19</v>
      </c>
      <c r="L10" s="69"/>
    </row>
    <row r="11" customFormat="false" ht="15" hidden="false" customHeight="false" outlineLevel="0" collapsed="false">
      <c r="A11" s="55" t="n">
        <v>8</v>
      </c>
      <c r="B11" s="63" t="s">
        <v>380</v>
      </c>
      <c r="C11" s="63" t="s">
        <v>569</v>
      </c>
      <c r="D11" s="63" t="s">
        <v>512</v>
      </c>
      <c r="E11" s="57" t="n">
        <v>52</v>
      </c>
      <c r="F11" s="57" t="n">
        <v>16</v>
      </c>
      <c r="G11" s="57" t="n">
        <v>36</v>
      </c>
      <c r="H11" s="57" t="n">
        <v>15</v>
      </c>
      <c r="I11" s="26" t="n">
        <f aca="false">SUM(E11:H11)</f>
        <v>119</v>
      </c>
      <c r="J11" s="57" t="n">
        <v>97</v>
      </c>
      <c r="K11" s="26" t="n">
        <f aca="false">I11-J11</f>
        <v>22</v>
      </c>
      <c r="L11" s="70"/>
    </row>
    <row r="12" customFormat="false" ht="15" hidden="false" customHeight="false" outlineLevel="0" collapsed="false">
      <c r="A12" s="51" t="n">
        <v>9</v>
      </c>
      <c r="B12" s="61" t="s">
        <v>380</v>
      </c>
      <c r="C12" s="61" t="s">
        <v>570</v>
      </c>
      <c r="D12" s="61" t="s">
        <v>512</v>
      </c>
      <c r="E12" s="53" t="n">
        <v>31</v>
      </c>
      <c r="F12" s="53" t="n">
        <v>15</v>
      </c>
      <c r="G12" s="53" t="n">
        <v>21</v>
      </c>
      <c r="H12" s="53" t="n">
        <v>14</v>
      </c>
      <c r="I12" s="21" t="n">
        <f aca="false">SUM(E12:H12)</f>
        <v>81</v>
      </c>
      <c r="J12" s="53" t="n">
        <v>97</v>
      </c>
      <c r="K12" s="21" t="n">
        <f aca="false">I12-J12</f>
        <v>-16</v>
      </c>
      <c r="L12" s="69"/>
    </row>
    <row r="13" customFormat="false" ht="15" hidden="false" customHeight="false" outlineLevel="0" collapsed="false">
      <c r="A13" s="55" t="n">
        <v>10</v>
      </c>
      <c r="B13" s="63" t="s">
        <v>380</v>
      </c>
      <c r="C13" s="63" t="s">
        <v>571</v>
      </c>
      <c r="D13" s="63" t="s">
        <v>512</v>
      </c>
      <c r="E13" s="57" t="n">
        <v>40</v>
      </c>
      <c r="F13" s="57" t="n">
        <v>12</v>
      </c>
      <c r="G13" s="57" t="n">
        <v>16</v>
      </c>
      <c r="H13" s="57" t="n">
        <v>10</v>
      </c>
      <c r="I13" s="26" t="n">
        <f aca="false">SUM(E13:H13)</f>
        <v>78</v>
      </c>
      <c r="J13" s="57" t="n">
        <v>90</v>
      </c>
      <c r="K13" s="26" t="n">
        <f aca="false">I13-J13</f>
        <v>-12</v>
      </c>
      <c r="L13" s="70"/>
    </row>
    <row r="14" customFormat="false" ht="15" hidden="false" customHeight="false" outlineLevel="0" collapsed="false">
      <c r="A14" s="59"/>
      <c r="B14" s="28"/>
      <c r="C14" s="28" t="s">
        <v>11</v>
      </c>
      <c r="D14" s="28"/>
      <c r="E14" s="30" t="n">
        <f aca="false">SUM(E4:INDEX(E:E,ROW()-1))</f>
        <v>351</v>
      </c>
      <c r="F14" s="30" t="n">
        <f aca="false">SUM(F4:INDEX(F:F,ROW()-1))</f>
        <v>113</v>
      </c>
      <c r="G14" s="30" t="n">
        <f aca="false">SUM(G4:INDEX(G:G,ROW()-1))</f>
        <v>199</v>
      </c>
      <c r="H14" s="30" t="n">
        <f aca="false">SUM(H4:INDEX(H:H,ROW()-1))</f>
        <v>79</v>
      </c>
      <c r="I14" s="30" t="n">
        <f aca="false">SUM(I4:INDEX(I:I,ROW()-1))</f>
        <v>742</v>
      </c>
      <c r="J14" s="30" t="n">
        <f aca="false">SUM(J4:INDEX(J:J,ROW()-1))</f>
        <v>873</v>
      </c>
      <c r="K14" s="30" t="n">
        <f aca="false">I14-J14</f>
        <v>-131</v>
      </c>
      <c r="L14" s="71" t="n">
        <f aca="false">COUNTA(C4:INDEX(C:C,ROW()-1))</f>
        <v>10</v>
      </c>
    </row>
    <row r="15" customFormat="false" ht="15" hidden="false" customHeight="false" outlineLevel="0" collapsed="false">
      <c r="A15" s="72"/>
      <c r="B15" s="73"/>
      <c r="C15" s="73" t="s">
        <v>513</v>
      </c>
      <c r="D15" s="73"/>
      <c r="E15" s="74" t="n">
        <f aca="false">IFERROR(E14/$L14,0)</f>
        <v>35.1</v>
      </c>
      <c r="F15" s="74" t="n">
        <f aca="false">IFERROR(F14/$L14,0)</f>
        <v>11.3</v>
      </c>
      <c r="G15" s="74" t="n">
        <f aca="false">IFERROR(G14/$L14,0)</f>
        <v>19.9</v>
      </c>
      <c r="H15" s="74" t="n">
        <f aca="false">IFERROR(H14/$L14,0)</f>
        <v>7.9</v>
      </c>
      <c r="I15" s="74" t="n">
        <f aca="false">IFERROR(I14/$L14,0)</f>
        <v>74.2</v>
      </c>
      <c r="J15" s="74" t="n">
        <f aca="false">IFERROR(J14/$L14,0)</f>
        <v>87.3</v>
      </c>
      <c r="K15" s="74" t="n">
        <f aca="false">IFERROR(K14/$L14,0)</f>
        <v>-13.1</v>
      </c>
      <c r="L15" s="72"/>
    </row>
    <row r="18" customFormat="false" ht="16.15" hidden="false" customHeight="false" outlineLevel="0" collapsed="false">
      <c r="A18" s="48" t="s">
        <v>572</v>
      </c>
    </row>
    <row r="19" customFormat="false" ht="15" hidden="false" customHeight="true" outlineLevel="0" collapsed="false">
      <c r="A19" s="66" t="s">
        <v>234</v>
      </c>
      <c r="B19" s="66" t="s">
        <v>15</v>
      </c>
      <c r="C19" s="66" t="s">
        <v>493</v>
      </c>
      <c r="D19" s="66" t="s">
        <v>494</v>
      </c>
      <c r="E19" s="35" t="s">
        <v>495</v>
      </c>
      <c r="F19" s="35"/>
      <c r="G19" s="35" t="s">
        <v>496</v>
      </c>
      <c r="H19" s="35"/>
      <c r="I19" s="66" t="s">
        <v>497</v>
      </c>
      <c r="J19" s="66" t="s">
        <v>498</v>
      </c>
      <c r="K19" s="66" t="s">
        <v>499</v>
      </c>
      <c r="L19" s="66" t="s">
        <v>500</v>
      </c>
    </row>
    <row r="20" customFormat="false" ht="42" hidden="false" customHeight="true" outlineLevel="0" collapsed="false">
      <c r="A20" s="66"/>
      <c r="B20" s="66"/>
      <c r="C20" s="66"/>
      <c r="D20" s="66"/>
      <c r="E20" s="50" t="s">
        <v>501</v>
      </c>
      <c r="F20" s="50" t="s">
        <v>502</v>
      </c>
      <c r="G20" s="50" t="s">
        <v>501</v>
      </c>
      <c r="H20" s="50" t="s">
        <v>502</v>
      </c>
      <c r="I20" s="66"/>
      <c r="J20" s="66"/>
      <c r="K20" s="66"/>
      <c r="L20" s="66"/>
    </row>
    <row r="21" customFormat="false" ht="15" hidden="false" customHeight="false" outlineLevel="0" collapsed="false">
      <c r="A21" s="51" t="n">
        <v>1</v>
      </c>
      <c r="B21" s="61" t="s">
        <v>573</v>
      </c>
      <c r="C21" s="61" t="s">
        <v>574</v>
      </c>
      <c r="D21" s="61" t="s">
        <v>520</v>
      </c>
      <c r="E21" s="53" t="n">
        <v>22</v>
      </c>
      <c r="F21" s="53" t="n">
        <v>21</v>
      </c>
      <c r="G21" s="53" t="n">
        <v>38</v>
      </c>
      <c r="H21" s="53" t="n">
        <v>15</v>
      </c>
      <c r="I21" s="21" t="n">
        <f aca="false">SUM(E21:H21)</f>
        <v>96</v>
      </c>
      <c r="J21" s="53" t="n">
        <v>120</v>
      </c>
      <c r="K21" s="21" t="n">
        <f aca="false">I21-J21</f>
        <v>-24</v>
      </c>
      <c r="L21" s="69"/>
    </row>
    <row r="22" customFormat="false" ht="15" hidden="false" customHeight="false" outlineLevel="0" collapsed="false">
      <c r="A22" s="55" t="n">
        <v>2</v>
      </c>
      <c r="B22" s="63" t="s">
        <v>573</v>
      </c>
      <c r="C22" s="63" t="s">
        <v>575</v>
      </c>
      <c r="D22" s="63" t="s">
        <v>507</v>
      </c>
      <c r="E22" s="57" t="n">
        <v>20</v>
      </c>
      <c r="F22" s="57" t="n">
        <v>12</v>
      </c>
      <c r="G22" s="57" t="n">
        <v>52</v>
      </c>
      <c r="H22" s="57" t="n">
        <v>16</v>
      </c>
      <c r="I22" s="26" t="n">
        <f aca="false">SUM(E22:H22)</f>
        <v>100</v>
      </c>
      <c r="J22" s="57" t="n">
        <v>124</v>
      </c>
      <c r="K22" s="26" t="n">
        <f aca="false">I22-J22</f>
        <v>-24</v>
      </c>
      <c r="L22" s="70"/>
    </row>
    <row r="23" customFormat="false" ht="15" hidden="false" customHeight="false" outlineLevel="0" collapsed="false">
      <c r="A23" s="51" t="n">
        <v>3</v>
      </c>
      <c r="B23" s="61" t="s">
        <v>573</v>
      </c>
      <c r="C23" s="61" t="s">
        <v>576</v>
      </c>
      <c r="D23" s="61" t="s">
        <v>520</v>
      </c>
      <c r="E23" s="53" t="n">
        <v>22</v>
      </c>
      <c r="F23" s="53" t="n">
        <v>16</v>
      </c>
      <c r="G23" s="53" t="n">
        <v>49</v>
      </c>
      <c r="H23" s="53" t="n">
        <v>15</v>
      </c>
      <c r="I23" s="21" t="n">
        <f aca="false">SUM(E23:H23)</f>
        <v>102</v>
      </c>
      <c r="J23" s="53" t="n">
        <v>98</v>
      </c>
      <c r="K23" s="21" t="n">
        <f aca="false">I23-J23</f>
        <v>4</v>
      </c>
      <c r="L23" s="69"/>
    </row>
    <row r="24" customFormat="false" ht="15" hidden="false" customHeight="false" outlineLevel="0" collapsed="false">
      <c r="A24" s="55" t="n">
        <v>4</v>
      </c>
      <c r="B24" s="63" t="s">
        <v>573</v>
      </c>
      <c r="C24" s="63" t="s">
        <v>577</v>
      </c>
      <c r="D24" s="63" t="s">
        <v>520</v>
      </c>
      <c r="E24" s="57" t="n">
        <v>33</v>
      </c>
      <c r="F24" s="57" t="n">
        <v>13</v>
      </c>
      <c r="G24" s="57" t="n">
        <v>40</v>
      </c>
      <c r="H24" s="57" t="n">
        <v>14</v>
      </c>
      <c r="I24" s="26" t="n">
        <f aca="false">SUM(E24:H24)</f>
        <v>100</v>
      </c>
      <c r="J24" s="57" t="n">
        <v>114</v>
      </c>
      <c r="K24" s="26" t="n">
        <f aca="false">I24-J24</f>
        <v>-14</v>
      </c>
      <c r="L24" s="70"/>
    </row>
    <row r="25" customFormat="false" ht="15" hidden="false" customHeight="false" outlineLevel="0" collapsed="false">
      <c r="A25" s="51" t="n">
        <v>5</v>
      </c>
      <c r="B25" s="61" t="s">
        <v>573</v>
      </c>
      <c r="C25" s="61" t="s">
        <v>578</v>
      </c>
      <c r="D25" s="61" t="s">
        <v>504</v>
      </c>
      <c r="E25" s="53" t="n">
        <v>24</v>
      </c>
      <c r="F25" s="53" t="n">
        <v>7</v>
      </c>
      <c r="G25" s="53" t="n">
        <v>40</v>
      </c>
      <c r="H25" s="53" t="n">
        <v>16</v>
      </c>
      <c r="I25" s="21" t="n">
        <f aca="false">SUM(E25:H25)</f>
        <v>87</v>
      </c>
      <c r="J25" s="53" t="n">
        <v>120</v>
      </c>
      <c r="K25" s="21" t="n">
        <f aca="false">I25-J25</f>
        <v>-33</v>
      </c>
      <c r="L25" s="69"/>
    </row>
    <row r="26" customFormat="false" ht="15" hidden="false" customHeight="false" outlineLevel="0" collapsed="false">
      <c r="A26" s="59"/>
      <c r="B26" s="28"/>
      <c r="C26" s="28" t="s">
        <v>11</v>
      </c>
      <c r="D26" s="28"/>
      <c r="E26" s="30" t="n">
        <f aca="false">SUM(E21:INDEX(E:E,ROW()-1))</f>
        <v>121</v>
      </c>
      <c r="F26" s="30" t="n">
        <f aca="false">SUM(F21:INDEX(F:F,ROW()-1))</f>
        <v>69</v>
      </c>
      <c r="G26" s="30" t="n">
        <f aca="false">SUM(G21:INDEX(G:G,ROW()-1))</f>
        <v>219</v>
      </c>
      <c r="H26" s="30" t="n">
        <f aca="false">SUM(H21:INDEX(H:H,ROW()-1))</f>
        <v>76</v>
      </c>
      <c r="I26" s="30" t="n">
        <f aca="false">SUM(I21:INDEX(I:I,ROW()-1))</f>
        <v>485</v>
      </c>
      <c r="J26" s="30" t="n">
        <f aca="false">SUM(J21:INDEX(J:J,ROW()-1))</f>
        <v>576</v>
      </c>
      <c r="K26" s="30" t="n">
        <f aca="false">I26-J26</f>
        <v>-91</v>
      </c>
      <c r="L26" s="71" t="n">
        <f aca="false">COUNTA(C21:INDEX(C:C,ROW()-1))</f>
        <v>5</v>
      </c>
    </row>
    <row r="27" customFormat="false" ht="15" hidden="false" customHeight="false" outlineLevel="0" collapsed="false">
      <c r="A27" s="72"/>
      <c r="B27" s="73"/>
      <c r="C27" s="73" t="s">
        <v>513</v>
      </c>
      <c r="D27" s="73"/>
      <c r="E27" s="74" t="n">
        <f aca="false">IFERROR(E26/$L26,0)</f>
        <v>24.2</v>
      </c>
      <c r="F27" s="74" t="n">
        <f aca="false">IFERROR(F26/$L26,0)</f>
        <v>13.8</v>
      </c>
      <c r="G27" s="74" t="n">
        <f aca="false">IFERROR(G26/$L26,0)</f>
        <v>43.8</v>
      </c>
      <c r="H27" s="74" t="n">
        <f aca="false">IFERROR(H26/$L26,0)</f>
        <v>15.2</v>
      </c>
      <c r="I27" s="74" t="n">
        <f aca="false">IFERROR(I26/$L26,0)</f>
        <v>97</v>
      </c>
      <c r="J27" s="74" t="n">
        <f aca="false">IFERROR(J26/$L26,0)</f>
        <v>115.2</v>
      </c>
      <c r="K27" s="74" t="n">
        <f aca="false">IFERROR(K26/$L26,0)</f>
        <v>-18.2</v>
      </c>
      <c r="L27" s="72"/>
    </row>
    <row r="30" customFormat="false" ht="16.15" hidden="false" customHeight="false" outlineLevel="0" collapsed="false">
      <c r="A30" s="48" t="s">
        <v>579</v>
      </c>
    </row>
    <row r="31" customFormat="false" ht="15" hidden="false" customHeight="true" outlineLevel="0" collapsed="false">
      <c r="A31" s="66" t="s">
        <v>234</v>
      </c>
      <c r="B31" s="66" t="s">
        <v>15</v>
      </c>
      <c r="C31" s="66" t="s">
        <v>493</v>
      </c>
      <c r="D31" s="66" t="s">
        <v>494</v>
      </c>
      <c r="E31" s="35" t="s">
        <v>495</v>
      </c>
      <c r="F31" s="35"/>
      <c r="G31" s="35" t="s">
        <v>496</v>
      </c>
      <c r="H31" s="35"/>
      <c r="I31" s="66" t="s">
        <v>497</v>
      </c>
      <c r="J31" s="66" t="s">
        <v>498</v>
      </c>
      <c r="K31" s="66" t="s">
        <v>499</v>
      </c>
      <c r="L31" s="66" t="s">
        <v>500</v>
      </c>
    </row>
    <row r="32" customFormat="false" ht="42" hidden="false" customHeight="true" outlineLevel="0" collapsed="false">
      <c r="A32" s="66"/>
      <c r="B32" s="66"/>
      <c r="C32" s="66"/>
      <c r="D32" s="66"/>
      <c r="E32" s="50" t="s">
        <v>501</v>
      </c>
      <c r="F32" s="50" t="s">
        <v>502</v>
      </c>
      <c r="G32" s="50" t="s">
        <v>501</v>
      </c>
      <c r="H32" s="50" t="s">
        <v>502</v>
      </c>
      <c r="I32" s="66"/>
      <c r="J32" s="66"/>
      <c r="K32" s="66"/>
      <c r="L32" s="66"/>
    </row>
    <row r="33" customFormat="false" ht="15" hidden="false" customHeight="false" outlineLevel="0" collapsed="false">
      <c r="A33" s="51" t="n">
        <v>1</v>
      </c>
      <c r="B33" s="61" t="s">
        <v>254</v>
      </c>
      <c r="C33" s="61" t="s">
        <v>580</v>
      </c>
      <c r="D33" s="61" t="s">
        <v>507</v>
      </c>
      <c r="E33" s="53" t="n">
        <v>61</v>
      </c>
      <c r="F33" s="53" t="n">
        <v>7</v>
      </c>
      <c r="G33" s="53" t="n">
        <v>21</v>
      </c>
      <c r="H33" s="53" t="n">
        <v>2</v>
      </c>
      <c r="I33" s="21" t="n">
        <f aca="false">SUM(E33:H33)</f>
        <v>91</v>
      </c>
      <c r="J33" s="53" t="n">
        <v>109</v>
      </c>
      <c r="K33" s="21" t="n">
        <f aca="false">I33-J33</f>
        <v>-18</v>
      </c>
      <c r="L33" s="69"/>
    </row>
    <row r="34" customFormat="false" ht="15" hidden="false" customHeight="false" outlineLevel="0" collapsed="false">
      <c r="A34" s="55" t="n">
        <v>2</v>
      </c>
      <c r="B34" s="63" t="s">
        <v>254</v>
      </c>
      <c r="C34" s="63" t="s">
        <v>581</v>
      </c>
      <c r="D34" s="63" t="s">
        <v>520</v>
      </c>
      <c r="E34" s="57" t="n">
        <v>37</v>
      </c>
      <c r="F34" s="57" t="n">
        <v>14</v>
      </c>
      <c r="G34" s="57" t="n">
        <v>15</v>
      </c>
      <c r="H34" s="57" t="n">
        <v>7</v>
      </c>
      <c r="I34" s="26" t="n">
        <f aca="false">SUM(E34:H34)</f>
        <v>73</v>
      </c>
      <c r="J34" s="57" t="n">
        <v>101</v>
      </c>
      <c r="K34" s="26" t="n">
        <f aca="false">I34-J34</f>
        <v>-28</v>
      </c>
      <c r="L34" s="70"/>
    </row>
    <row r="35" customFormat="false" ht="15" hidden="false" customHeight="false" outlineLevel="0" collapsed="false">
      <c r="A35" s="51" t="n">
        <v>3</v>
      </c>
      <c r="B35" s="61" t="s">
        <v>254</v>
      </c>
      <c r="C35" s="61" t="s">
        <v>582</v>
      </c>
      <c r="D35" s="61" t="s">
        <v>520</v>
      </c>
      <c r="E35" s="53" t="n">
        <v>38</v>
      </c>
      <c r="F35" s="53" t="n">
        <v>14</v>
      </c>
      <c r="G35" s="53" t="n">
        <v>35</v>
      </c>
      <c r="H35" s="53" t="n">
        <v>13</v>
      </c>
      <c r="I35" s="21" t="n">
        <f aca="false">SUM(E35:H35)</f>
        <v>100</v>
      </c>
      <c r="J35" s="53" t="n">
        <v>107</v>
      </c>
      <c r="K35" s="21" t="n">
        <f aca="false">I35-J35</f>
        <v>-7</v>
      </c>
      <c r="L35" s="69"/>
    </row>
    <row r="36" customFormat="false" ht="15" hidden="false" customHeight="false" outlineLevel="0" collapsed="false">
      <c r="A36" s="55" t="n">
        <v>4</v>
      </c>
      <c r="B36" s="63" t="s">
        <v>254</v>
      </c>
      <c r="C36" s="63" t="s">
        <v>583</v>
      </c>
      <c r="D36" s="63" t="s">
        <v>504</v>
      </c>
      <c r="E36" s="57" t="n">
        <v>49</v>
      </c>
      <c r="F36" s="57" t="n">
        <v>11</v>
      </c>
      <c r="G36" s="57" t="n">
        <v>13</v>
      </c>
      <c r="H36" s="57" t="n">
        <v>2</v>
      </c>
      <c r="I36" s="26" t="n">
        <f aca="false">SUM(E36:H36)</f>
        <v>75</v>
      </c>
      <c r="J36" s="57" t="n">
        <v>106</v>
      </c>
      <c r="K36" s="26" t="n">
        <f aca="false">I36-J36</f>
        <v>-31</v>
      </c>
      <c r="L36" s="70"/>
    </row>
    <row r="37" customFormat="false" ht="15" hidden="false" customHeight="false" outlineLevel="0" collapsed="false">
      <c r="A37" s="51" t="n">
        <v>5</v>
      </c>
      <c r="B37" s="61" t="s">
        <v>254</v>
      </c>
      <c r="C37" s="61" t="s">
        <v>584</v>
      </c>
      <c r="D37" s="61" t="s">
        <v>504</v>
      </c>
      <c r="E37" s="53" t="n">
        <v>53</v>
      </c>
      <c r="F37" s="53" t="n">
        <v>17</v>
      </c>
      <c r="G37" s="53" t="n">
        <v>16</v>
      </c>
      <c r="H37" s="53" t="n">
        <v>8</v>
      </c>
      <c r="I37" s="21" t="n">
        <f aca="false">SUM(E37:H37)</f>
        <v>94</v>
      </c>
      <c r="J37" s="53" t="n">
        <v>102</v>
      </c>
      <c r="K37" s="21" t="n">
        <f aca="false">I37-J37</f>
        <v>-8</v>
      </c>
      <c r="L37" s="69"/>
    </row>
    <row r="38" customFormat="false" ht="15" hidden="false" customHeight="false" outlineLevel="0" collapsed="false">
      <c r="A38" s="55" t="n">
        <v>6</v>
      </c>
      <c r="B38" s="63" t="s">
        <v>254</v>
      </c>
      <c r="C38" s="63" t="s">
        <v>585</v>
      </c>
      <c r="D38" s="63" t="s">
        <v>504</v>
      </c>
      <c r="E38" s="57" t="n">
        <v>40</v>
      </c>
      <c r="F38" s="57" t="n">
        <v>13</v>
      </c>
      <c r="G38" s="57" t="n">
        <v>16</v>
      </c>
      <c r="H38" s="57" t="n">
        <v>7</v>
      </c>
      <c r="I38" s="26" t="n">
        <f aca="false">SUM(E38:H38)</f>
        <v>76</v>
      </c>
      <c r="J38" s="57" t="n">
        <v>96</v>
      </c>
      <c r="K38" s="26" t="n">
        <f aca="false">I38-J38</f>
        <v>-20</v>
      </c>
      <c r="L38" s="70"/>
    </row>
    <row r="39" customFormat="false" ht="15" hidden="false" customHeight="false" outlineLevel="0" collapsed="false">
      <c r="A39" s="59"/>
      <c r="B39" s="28"/>
      <c r="C39" s="28" t="s">
        <v>11</v>
      </c>
      <c r="D39" s="28"/>
      <c r="E39" s="30" t="n">
        <f aca="false">SUM(E33:INDEX(E:E,ROW()-1))</f>
        <v>278</v>
      </c>
      <c r="F39" s="30" t="n">
        <f aca="false">SUM(F33:INDEX(F:F,ROW()-1))</f>
        <v>76</v>
      </c>
      <c r="G39" s="30" t="n">
        <f aca="false">SUM(G33:INDEX(G:G,ROW()-1))</f>
        <v>116</v>
      </c>
      <c r="H39" s="30" t="n">
        <f aca="false">SUM(H33:INDEX(H:H,ROW()-1))</f>
        <v>39</v>
      </c>
      <c r="I39" s="30" t="n">
        <f aca="false">SUM(I33:INDEX(I:I,ROW()-1))</f>
        <v>509</v>
      </c>
      <c r="J39" s="30" t="n">
        <f aca="false">SUM(J33:INDEX(J:J,ROW()-1))</f>
        <v>621</v>
      </c>
      <c r="K39" s="30" t="n">
        <f aca="false">I39-J39</f>
        <v>-112</v>
      </c>
      <c r="L39" s="71" t="n">
        <f aca="false">COUNTA(C33:INDEX(C:C,ROW()-1))</f>
        <v>6</v>
      </c>
    </row>
    <row r="40" customFormat="false" ht="15" hidden="false" customHeight="false" outlineLevel="0" collapsed="false">
      <c r="A40" s="72"/>
      <c r="B40" s="73"/>
      <c r="C40" s="73" t="s">
        <v>513</v>
      </c>
      <c r="D40" s="73"/>
      <c r="E40" s="74" t="n">
        <f aca="false">IFERROR(E39/$L39,0)</f>
        <v>46.3333333333333</v>
      </c>
      <c r="F40" s="74" t="n">
        <f aca="false">IFERROR(F39/$L39,0)</f>
        <v>12.6666666666667</v>
      </c>
      <c r="G40" s="74" t="n">
        <f aca="false">IFERROR(G39/$L39,0)</f>
        <v>19.3333333333333</v>
      </c>
      <c r="H40" s="74" t="n">
        <f aca="false">IFERROR(H39/$L39,0)</f>
        <v>6.5</v>
      </c>
      <c r="I40" s="74" t="n">
        <f aca="false">IFERROR(I39/$L39,0)</f>
        <v>84.8333333333333</v>
      </c>
      <c r="J40" s="74" t="n">
        <f aca="false">IFERROR(J39/$L39,0)</f>
        <v>103.5</v>
      </c>
      <c r="K40" s="74" t="n">
        <f aca="false">IFERROR(K39/$L39,0)</f>
        <v>-18.6666666666667</v>
      </c>
      <c r="L40" s="72"/>
    </row>
    <row r="43" customFormat="false" ht="15" hidden="false" customHeight="false" outlineLevel="0" collapsed="false">
      <c r="A43" s="49" t="s">
        <v>534</v>
      </c>
    </row>
  </sheetData>
  <mergeCells count="30">
    <mergeCell ref="A2:A3"/>
    <mergeCell ref="B2:B3"/>
    <mergeCell ref="C2:C3"/>
    <mergeCell ref="D2:D3"/>
    <mergeCell ref="E2:F2"/>
    <mergeCell ref="G2:H2"/>
    <mergeCell ref="I2:I3"/>
    <mergeCell ref="J2:J3"/>
    <mergeCell ref="K2:K3"/>
    <mergeCell ref="L2:L3"/>
    <mergeCell ref="A19:A20"/>
    <mergeCell ref="B19:B20"/>
    <mergeCell ref="C19:C20"/>
    <mergeCell ref="D19:D20"/>
    <mergeCell ref="E19:F19"/>
    <mergeCell ref="G19:H19"/>
    <mergeCell ref="I19:I20"/>
    <mergeCell ref="J19:J20"/>
    <mergeCell ref="K19:K20"/>
    <mergeCell ref="L19:L20"/>
    <mergeCell ref="A31:A32"/>
    <mergeCell ref="B31:B32"/>
    <mergeCell ref="C31:C32"/>
    <mergeCell ref="D31:D32"/>
    <mergeCell ref="E31:F31"/>
    <mergeCell ref="G31:H31"/>
    <mergeCell ref="I31:I32"/>
    <mergeCell ref="J31:J32"/>
    <mergeCell ref="K31:K32"/>
    <mergeCell ref="L31:L32"/>
  </mergeCells>
  <conditionalFormatting sqref="K4:K15">
    <cfRule type="cellIs" priority="2" operator="lessThan" aboveAverage="0" equalAverage="0" bottom="0" percent="0" rank="0" text="" dxfId="7">
      <formula>0</formula>
    </cfRule>
  </conditionalFormatting>
  <conditionalFormatting sqref="K21:K27">
    <cfRule type="cellIs" priority="3" operator="lessThan" aboveAverage="0" equalAverage="0" bottom="0" percent="0" rank="0" text="" dxfId="7">
      <formula>0</formula>
    </cfRule>
  </conditionalFormatting>
  <conditionalFormatting sqref="K33:K40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10" min="9" style="0" width="13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48" t="s">
        <v>586</v>
      </c>
    </row>
    <row r="3" customFormat="false" ht="15" hidden="false" customHeight="true" outlineLevel="0" collapsed="false">
      <c r="A3" s="66" t="s">
        <v>234</v>
      </c>
      <c r="B3" s="66" t="s">
        <v>15</v>
      </c>
      <c r="C3" s="66" t="s">
        <v>375</v>
      </c>
      <c r="D3" s="66" t="s">
        <v>587</v>
      </c>
      <c r="E3" s="66" t="s">
        <v>494</v>
      </c>
      <c r="F3" s="66" t="s">
        <v>588</v>
      </c>
      <c r="G3" s="66" t="s">
        <v>589</v>
      </c>
      <c r="H3" s="66" t="s">
        <v>496</v>
      </c>
      <c r="I3" s="66" t="s">
        <v>497</v>
      </c>
      <c r="J3" s="66" t="s">
        <v>498</v>
      </c>
      <c r="K3" s="66" t="s">
        <v>499</v>
      </c>
    </row>
    <row r="4" customFormat="false" ht="42" hidden="false" customHeight="true" outlineLevel="0" collapsed="false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customFormat="false" ht="15" hidden="false" customHeight="false" outlineLevel="0" collapsed="false">
      <c r="A5" s="51" t="n">
        <v>1</v>
      </c>
      <c r="B5" s="61" t="s">
        <v>248</v>
      </c>
      <c r="C5" s="61" t="s">
        <v>248</v>
      </c>
      <c r="D5" s="61" t="s">
        <v>590</v>
      </c>
      <c r="E5" s="61" t="s">
        <v>507</v>
      </c>
      <c r="F5" s="53" t="n">
        <v>71</v>
      </c>
      <c r="G5" s="53" t="n">
        <v>100</v>
      </c>
      <c r="H5" s="53" t="n">
        <v>9</v>
      </c>
      <c r="I5" s="21" t="n">
        <f aca="false">SUM(F5:H5)</f>
        <v>180</v>
      </c>
      <c r="J5" s="53" t="n">
        <v>141</v>
      </c>
      <c r="K5" s="21" t="n">
        <f aca="false">I5-J5</f>
        <v>39</v>
      </c>
    </row>
    <row r="6" customFormat="false" ht="15" hidden="false" customHeight="false" outlineLevel="0" collapsed="false">
      <c r="A6" s="55" t="n">
        <v>2</v>
      </c>
      <c r="B6" s="63" t="s">
        <v>248</v>
      </c>
      <c r="C6" s="63" t="s">
        <v>248</v>
      </c>
      <c r="D6" s="63" t="s">
        <v>591</v>
      </c>
      <c r="E6" s="63" t="s">
        <v>507</v>
      </c>
      <c r="F6" s="57" t="n">
        <v>66</v>
      </c>
      <c r="G6" s="57" t="n">
        <v>79</v>
      </c>
      <c r="H6" s="57" t="n">
        <v>7</v>
      </c>
      <c r="I6" s="26" t="n">
        <f aca="false">SUM(F6:H6)</f>
        <v>152</v>
      </c>
      <c r="J6" s="57" t="n">
        <v>138</v>
      </c>
      <c r="K6" s="26" t="n">
        <f aca="false">I6-J6</f>
        <v>14</v>
      </c>
    </row>
    <row r="7" customFormat="false" ht="15" hidden="false" customHeight="false" outlineLevel="0" collapsed="false">
      <c r="A7" s="59"/>
      <c r="B7" s="28" t="s">
        <v>592</v>
      </c>
      <c r="C7" s="28"/>
      <c r="D7" s="28"/>
      <c r="E7" s="28"/>
      <c r="F7" s="30" t="n">
        <f aca="false">SUMIF($B:$B,"Cuddalore",F:F)</f>
        <v>137</v>
      </c>
      <c r="G7" s="30" t="n">
        <f aca="false">SUMIF($B:$B,"Cuddalore",G:G)</f>
        <v>179</v>
      </c>
      <c r="H7" s="30" t="n">
        <f aca="false">SUMIF($B:$B,"Cuddalore",H:H)</f>
        <v>16</v>
      </c>
      <c r="I7" s="30" t="n">
        <f aca="false">SUMIF($B:$B,"Cuddalore",I:I)</f>
        <v>332</v>
      </c>
      <c r="J7" s="30" t="n">
        <f aca="false">SUMIF($B:$B,"Cuddalore",J:J)</f>
        <v>279</v>
      </c>
      <c r="K7" s="30" t="n">
        <f aca="false">I7-J7</f>
        <v>53</v>
      </c>
    </row>
    <row r="8" customFormat="false" ht="15" hidden="false" customHeight="false" outlineLevel="0" collapsed="false">
      <c r="A8" s="51" t="n">
        <v>1</v>
      </c>
      <c r="B8" s="61" t="s">
        <v>251</v>
      </c>
      <c r="C8" s="61" t="s">
        <v>251</v>
      </c>
      <c r="D8" s="61" t="s">
        <v>593</v>
      </c>
      <c r="E8" s="61" t="s">
        <v>507</v>
      </c>
      <c r="F8" s="53" t="n">
        <v>50</v>
      </c>
      <c r="G8" s="53" t="n">
        <v>167</v>
      </c>
      <c r="H8" s="53" t="n">
        <v>14</v>
      </c>
      <c r="I8" s="21" t="n">
        <f aca="false">SUM(F8:H8)</f>
        <v>231</v>
      </c>
      <c r="J8" s="53" t="n">
        <v>220</v>
      </c>
      <c r="K8" s="21" t="n">
        <f aca="false">I8-J8</f>
        <v>11</v>
      </c>
    </row>
    <row r="9" customFormat="false" ht="15" hidden="false" customHeight="false" outlineLevel="0" collapsed="false">
      <c r="A9" s="55" t="n">
        <v>2</v>
      </c>
      <c r="B9" s="63" t="s">
        <v>251</v>
      </c>
      <c r="C9" s="63" t="s">
        <v>594</v>
      </c>
      <c r="D9" s="63" t="s">
        <v>595</v>
      </c>
      <c r="E9" s="63" t="s">
        <v>507</v>
      </c>
      <c r="F9" s="57" t="n">
        <v>83</v>
      </c>
      <c r="G9" s="57" t="n">
        <v>112</v>
      </c>
      <c r="H9" s="57" t="n">
        <v>2</v>
      </c>
      <c r="I9" s="26" t="n">
        <f aca="false">SUM(F9:H9)</f>
        <v>197</v>
      </c>
      <c r="J9" s="57" t="n">
        <v>164</v>
      </c>
      <c r="K9" s="26" t="n">
        <f aca="false">I9-J9</f>
        <v>33</v>
      </c>
    </row>
    <row r="10" customFormat="false" ht="15" hidden="false" customHeight="false" outlineLevel="0" collapsed="false">
      <c r="A10" s="59"/>
      <c r="B10" s="28" t="s">
        <v>596</v>
      </c>
      <c r="C10" s="28"/>
      <c r="D10" s="28"/>
      <c r="E10" s="28"/>
      <c r="F10" s="30" t="n">
        <f aca="false">SUMIF($B:$B,"Panruti",F:F)</f>
        <v>133</v>
      </c>
      <c r="G10" s="30" t="n">
        <f aca="false">SUMIF($B:$B,"Panruti",G:G)</f>
        <v>279</v>
      </c>
      <c r="H10" s="30" t="n">
        <f aca="false">SUMIF($B:$B,"Panruti",H:H)</f>
        <v>16</v>
      </c>
      <c r="I10" s="30" t="n">
        <f aca="false">SUMIF($B:$B,"Panruti",I:I)</f>
        <v>428</v>
      </c>
      <c r="J10" s="30" t="n">
        <f aca="false">SUMIF($B:$B,"Panruti",J:J)</f>
        <v>384</v>
      </c>
      <c r="K10" s="30" t="n">
        <f aca="false">I10-J10</f>
        <v>44</v>
      </c>
    </row>
    <row r="11" customFormat="false" ht="15" hidden="false" customHeight="false" outlineLevel="0" collapsed="false">
      <c r="A11" s="51" t="n">
        <v>1</v>
      </c>
      <c r="B11" s="61" t="s">
        <v>247</v>
      </c>
      <c r="C11" s="61" t="s">
        <v>247</v>
      </c>
      <c r="D11" s="61" t="s">
        <v>597</v>
      </c>
      <c r="E11" s="61" t="s">
        <v>507</v>
      </c>
      <c r="F11" s="53" t="n">
        <v>7</v>
      </c>
      <c r="G11" s="53" t="n">
        <v>81</v>
      </c>
      <c r="H11" s="53" t="n">
        <v>1</v>
      </c>
      <c r="I11" s="21" t="n">
        <f aca="false">SUM(F11:H11)</f>
        <v>89</v>
      </c>
      <c r="J11" s="53" t="n">
        <v>79</v>
      </c>
      <c r="K11" s="21" t="n">
        <f aca="false">I11-J11</f>
        <v>10</v>
      </c>
    </row>
    <row r="12" customFormat="false" ht="15" hidden="false" customHeight="false" outlineLevel="0" collapsed="false">
      <c r="A12" s="55" t="n">
        <v>1</v>
      </c>
      <c r="B12" s="63" t="s">
        <v>380</v>
      </c>
      <c r="C12" s="63" t="s">
        <v>380</v>
      </c>
      <c r="D12" s="63" t="s">
        <v>598</v>
      </c>
      <c r="E12" s="63" t="s">
        <v>507</v>
      </c>
      <c r="F12" s="57" t="n">
        <v>73</v>
      </c>
      <c r="G12" s="57" t="n">
        <v>262</v>
      </c>
      <c r="H12" s="57" t="n">
        <v>31</v>
      </c>
      <c r="I12" s="26" t="n">
        <f aca="false">SUM(F12:H12)</f>
        <v>366</v>
      </c>
      <c r="J12" s="57" t="n">
        <v>315</v>
      </c>
      <c r="K12" s="26" t="n">
        <f aca="false">I12-J12</f>
        <v>51</v>
      </c>
    </row>
    <row r="14" customFormat="false" ht="15" hidden="false" customHeight="false" outlineLevel="0" collapsed="false">
      <c r="A14" s="49" t="s">
        <v>599</v>
      </c>
    </row>
  </sheetData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K5:K13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48" t="s">
        <v>600</v>
      </c>
    </row>
    <row r="2" customFormat="false" ht="15" hidden="false" customHeight="false" outlineLevel="0" collapsed="false">
      <c r="A2" s="49" t="s">
        <v>601</v>
      </c>
    </row>
    <row r="3" customFormat="false" ht="15" hidden="false" customHeight="true" outlineLevel="0" collapsed="false">
      <c r="A3" s="66" t="s">
        <v>234</v>
      </c>
      <c r="B3" s="66" t="s">
        <v>15</v>
      </c>
      <c r="C3" s="66" t="s">
        <v>602</v>
      </c>
      <c r="D3" s="66" t="s">
        <v>603</v>
      </c>
      <c r="E3" s="66" t="s">
        <v>604</v>
      </c>
      <c r="F3" s="66" t="s">
        <v>605</v>
      </c>
      <c r="G3" s="66" t="s">
        <v>500</v>
      </c>
      <c r="H3" s="66" t="s">
        <v>499</v>
      </c>
      <c r="I3" s="66" t="s">
        <v>32</v>
      </c>
    </row>
    <row r="4" customFormat="false" ht="48" hidden="false" customHeight="true" outlineLevel="0" collapsed="false">
      <c r="A4" s="66"/>
      <c r="B4" s="66"/>
      <c r="C4" s="66"/>
      <c r="D4" s="66"/>
      <c r="E4" s="66"/>
      <c r="F4" s="66"/>
      <c r="G4" s="66"/>
      <c r="H4" s="66"/>
      <c r="I4" s="66"/>
    </row>
    <row r="5" customFormat="false" ht="15" hidden="false" customHeight="false" outlineLevel="0" collapsed="false">
      <c r="A5" s="51" t="n">
        <v>1</v>
      </c>
      <c r="B5" s="61" t="s">
        <v>248</v>
      </c>
      <c r="C5" s="67" t="n">
        <f aca="false">'cud -div'!I11+SUMIF(urban!$B:$B,$B5,urban!$I:$I)</f>
        <v>1149</v>
      </c>
      <c r="D5" s="23" t="n">
        <f aca="false">IFERROR(C5/G5,0)</f>
        <v>127.666666666667</v>
      </c>
      <c r="E5" s="67" t="n">
        <f aca="false">'cud -div'!J11+SUMIF(urban!$B:$B,$B5,urban!$J:$J)</f>
        <v>1165</v>
      </c>
      <c r="F5" s="23" t="n">
        <f aca="false">IFERROR(E5/G5,0)</f>
        <v>129.444444444444</v>
      </c>
      <c r="G5" s="75" t="n">
        <f aca="false">'cud -div'!L11+COUNTIF(urban!$B:$B,$B5)</f>
        <v>9</v>
      </c>
      <c r="H5" s="21" t="n">
        <f aca="false">C5-E5</f>
        <v>-16</v>
      </c>
      <c r="I5" s="22" t="n">
        <f aca="false">IFERROR(H5/E5,0)</f>
        <v>-0.0137339055793991</v>
      </c>
    </row>
    <row r="6" customFormat="false" ht="15" hidden="false" customHeight="false" outlineLevel="0" collapsed="false">
      <c r="A6" s="55" t="n">
        <v>2</v>
      </c>
      <c r="B6" s="63" t="s">
        <v>251</v>
      </c>
      <c r="C6" s="68" t="n">
        <f aca="false">'cud -div'!I26+SUMIF(urban!$B:$B,$B6,urban!$I:$I)</f>
        <v>1254</v>
      </c>
      <c r="D6" s="76" t="n">
        <f aca="false">IFERROR(C6/G6,0)</f>
        <v>125.4</v>
      </c>
      <c r="E6" s="68" t="n">
        <f aca="false">'cud -div'!J26+SUMIF(urban!$B:$B,$B6,urban!$J:$J)</f>
        <v>1300</v>
      </c>
      <c r="F6" s="76" t="n">
        <f aca="false">IFERROR(E6/G6,0)</f>
        <v>130</v>
      </c>
      <c r="G6" s="77" t="n">
        <f aca="false">'cud -div'!L26+COUNTIF(urban!$B:$B,$B6)</f>
        <v>10</v>
      </c>
      <c r="H6" s="26" t="n">
        <f aca="false">C6-E6</f>
        <v>-46</v>
      </c>
      <c r="I6" s="27" t="n">
        <f aca="false">IFERROR(H6/E6,0)</f>
        <v>-0.0353846153846154</v>
      </c>
    </row>
    <row r="7" customFormat="false" ht="15" hidden="false" customHeight="false" outlineLevel="0" collapsed="false">
      <c r="A7" s="51" t="n">
        <v>3</v>
      </c>
      <c r="B7" s="61" t="s">
        <v>250</v>
      </c>
      <c r="C7" s="67" t="n">
        <f aca="false">'cud -div'!I44+SUMIF(urban!$B:$B,$B7,urban!$I:$I)</f>
        <v>755</v>
      </c>
      <c r="D7" s="23" t="n">
        <f aca="false">IFERROR(C7/G7,0)</f>
        <v>68.6363636363636</v>
      </c>
      <c r="E7" s="67" t="n">
        <f aca="false">'cud -div'!J44+SUMIF(urban!$B:$B,$B7,urban!$J:$J)</f>
        <v>921</v>
      </c>
      <c r="F7" s="23" t="n">
        <f aca="false">IFERROR(E7/G7,0)</f>
        <v>83.7272727272727</v>
      </c>
      <c r="G7" s="75" t="n">
        <f aca="false">'cud -div'!L44+COUNTIF(urban!$B:$B,$B7)</f>
        <v>11</v>
      </c>
      <c r="H7" s="21" t="n">
        <f aca="false">C7-E7</f>
        <v>-166</v>
      </c>
      <c r="I7" s="22" t="n">
        <f aca="false">IFERROR(H7/E7,0)</f>
        <v>-0.180238870792617</v>
      </c>
    </row>
    <row r="8" customFormat="false" ht="15" hidden="false" customHeight="false" outlineLevel="0" collapsed="false">
      <c r="A8" s="55" t="n">
        <v>4</v>
      </c>
      <c r="B8" s="63" t="s">
        <v>247</v>
      </c>
      <c r="C8" s="68" t="n">
        <f aca="false">'cdm-div'!I13+SUMIF(urban!$B:$B,$B8,urban!$I:$I)</f>
        <v>678</v>
      </c>
      <c r="D8" s="76" t="n">
        <f aca="false">IFERROR(C8/G8,0)</f>
        <v>67.8</v>
      </c>
      <c r="E8" s="68" t="n">
        <f aca="false">'cdm-div'!J13+SUMIF(urban!$B:$B,$B8,urban!$J:$J)</f>
        <v>823</v>
      </c>
      <c r="F8" s="76" t="n">
        <f aca="false">IFERROR(E8/G8,0)</f>
        <v>82.3</v>
      </c>
      <c r="G8" s="77" t="n">
        <f aca="false">'cdm-div'!L13+COUNTIF(urban!$B:$B,$B8)</f>
        <v>10</v>
      </c>
      <c r="H8" s="26" t="n">
        <f aca="false">C8-E8</f>
        <v>-145</v>
      </c>
      <c r="I8" s="27" t="n">
        <f aca="false">IFERROR(H8/E8,0)</f>
        <v>-0.176184690157959</v>
      </c>
    </row>
    <row r="9" customFormat="false" ht="15" hidden="false" customHeight="false" outlineLevel="0" collapsed="false">
      <c r="A9" s="51" t="n">
        <v>5</v>
      </c>
      <c r="B9" s="61" t="s">
        <v>246</v>
      </c>
      <c r="C9" s="67" t="n">
        <f aca="false">'cdm-div'!I25+SUMIF(urban!$B:$B,$B9,urban!$I:$I)</f>
        <v>537</v>
      </c>
      <c r="D9" s="23" t="n">
        <f aca="false">IFERROR(C9/G9,0)</f>
        <v>107.4</v>
      </c>
      <c r="E9" s="67" t="n">
        <f aca="false">'cdm-div'!J25+SUMIF(urban!$B:$B,$B9,urban!$J:$J)</f>
        <v>686</v>
      </c>
      <c r="F9" s="23" t="n">
        <f aca="false">IFERROR(E9/G9,0)</f>
        <v>137.2</v>
      </c>
      <c r="G9" s="75" t="n">
        <f aca="false">'cdm-div'!L25+COUNTIF(urban!$B:$B,$B9)</f>
        <v>5</v>
      </c>
      <c r="H9" s="21" t="n">
        <f aca="false">C9-E9</f>
        <v>-149</v>
      </c>
      <c r="I9" s="22" t="n">
        <f aca="false">IFERROR(H9/E9,0)</f>
        <v>-0.217201166180758</v>
      </c>
    </row>
    <row r="10" customFormat="false" ht="15" hidden="false" customHeight="false" outlineLevel="0" collapsed="false">
      <c r="A10" s="55" t="n">
        <v>6</v>
      </c>
      <c r="B10" s="63" t="s">
        <v>249</v>
      </c>
      <c r="C10" s="68" t="n">
        <f aca="false">'cdm-div'!I38+SUMIF(urban!$B:$B,$B10,urban!$I:$I)</f>
        <v>434</v>
      </c>
      <c r="D10" s="76" t="n">
        <f aca="false">IFERROR(C10/G10,0)</f>
        <v>72.3333333333333</v>
      </c>
      <c r="E10" s="68" t="n">
        <f aca="false">'cdm-div'!J38+SUMIF(urban!$B:$B,$B10,urban!$J:$J)</f>
        <v>612</v>
      </c>
      <c r="F10" s="76" t="n">
        <f aca="false">IFERROR(E10/G10,0)</f>
        <v>102</v>
      </c>
      <c r="G10" s="77" t="n">
        <f aca="false">'cdm-div'!L38+COUNTIF(urban!$B:$B,$B10)</f>
        <v>6</v>
      </c>
      <c r="H10" s="26" t="n">
        <f aca="false">C10-E10</f>
        <v>-178</v>
      </c>
      <c r="I10" s="27" t="n">
        <f aca="false">IFERROR(H10/E10,0)</f>
        <v>-0.290849673202614</v>
      </c>
    </row>
    <row r="11" customFormat="false" ht="15" hidden="false" customHeight="false" outlineLevel="0" collapsed="false">
      <c r="A11" s="51" t="n">
        <v>7</v>
      </c>
      <c r="B11" s="61" t="s">
        <v>252</v>
      </c>
      <c r="C11" s="67" t="n">
        <f aca="false">'cdm-div'!I47+SUMIF(urban!$B:$B,$B11,urban!$I:$I)</f>
        <v>243</v>
      </c>
      <c r="D11" s="23" t="n">
        <f aca="false">IFERROR(C11/G11,0)</f>
        <v>121.5</v>
      </c>
      <c r="E11" s="67" t="n">
        <f aca="false">'cdm-div'!J47+SUMIF(urban!$B:$B,$B11,urban!$J:$J)</f>
        <v>327</v>
      </c>
      <c r="F11" s="23" t="n">
        <f aca="false">IFERROR(E11/G11,0)</f>
        <v>163.5</v>
      </c>
      <c r="G11" s="75" t="n">
        <f aca="false">'cdm-div'!L47+COUNTIF(urban!$B:$B,$B11)</f>
        <v>2</v>
      </c>
      <c r="H11" s="21" t="n">
        <f aca="false">C11-E11</f>
        <v>-84</v>
      </c>
      <c r="I11" s="22" t="n">
        <f aca="false">IFERROR(H11/E11,0)</f>
        <v>-0.256880733944954</v>
      </c>
    </row>
    <row r="12" customFormat="false" ht="15" hidden="false" customHeight="false" outlineLevel="0" collapsed="false">
      <c r="A12" s="55" t="n">
        <v>8</v>
      </c>
      <c r="B12" s="63" t="s">
        <v>380</v>
      </c>
      <c r="C12" s="68" t="n">
        <f aca="false">'vdm-div'!I14+SUMIF(urban!$B:$B,$B12,urban!$I:$I)</f>
        <v>1108</v>
      </c>
      <c r="D12" s="76" t="n">
        <f aca="false">IFERROR(C12/G12,0)</f>
        <v>100.727272727273</v>
      </c>
      <c r="E12" s="68" t="n">
        <f aca="false">'vdm-div'!J14+SUMIF(urban!$B:$B,$B12,urban!$J:$J)</f>
        <v>1188</v>
      </c>
      <c r="F12" s="76" t="n">
        <f aca="false">IFERROR(E12/G12,0)</f>
        <v>108</v>
      </c>
      <c r="G12" s="77" t="n">
        <f aca="false">'vdm-div'!L14+COUNTIF(urban!$B:$B,$B12)</f>
        <v>11</v>
      </c>
      <c r="H12" s="26" t="n">
        <f aca="false">C12-E12</f>
        <v>-80</v>
      </c>
      <c r="I12" s="27" t="n">
        <f aca="false">IFERROR(H12/E12,0)</f>
        <v>-0.0673400673400673</v>
      </c>
    </row>
    <row r="13" customFormat="false" ht="15" hidden="false" customHeight="false" outlineLevel="0" collapsed="false">
      <c r="A13" s="51" t="n">
        <v>9</v>
      </c>
      <c r="B13" s="61" t="s">
        <v>573</v>
      </c>
      <c r="C13" s="67" t="n">
        <f aca="false">'vdm-div'!I26+SUMIF(urban!$B:$B,$B13,urban!$I:$I)</f>
        <v>485</v>
      </c>
      <c r="D13" s="23" t="n">
        <f aca="false">IFERROR(C13/G13,0)</f>
        <v>97</v>
      </c>
      <c r="E13" s="67" t="n">
        <f aca="false">'vdm-div'!J26+SUMIF(urban!$B:$B,$B13,urban!$J:$J)</f>
        <v>576</v>
      </c>
      <c r="F13" s="23" t="n">
        <f aca="false">IFERROR(E13/G13,0)</f>
        <v>115.2</v>
      </c>
      <c r="G13" s="75" t="n">
        <f aca="false">'vdm-div'!L26+COUNTIF(urban!$B:$B,$B13)</f>
        <v>5</v>
      </c>
      <c r="H13" s="21" t="n">
        <f aca="false">C13-E13</f>
        <v>-91</v>
      </c>
      <c r="I13" s="22" t="n">
        <f aca="false">IFERROR(H13/E13,0)</f>
        <v>-0.157986111111111</v>
      </c>
    </row>
    <row r="14" customFormat="false" ht="15" hidden="false" customHeight="false" outlineLevel="0" collapsed="false">
      <c r="A14" s="55" t="n">
        <v>10</v>
      </c>
      <c r="B14" s="63" t="s">
        <v>254</v>
      </c>
      <c r="C14" s="68" t="n">
        <f aca="false">'vdm-div'!I39+SUMIF(urban!$B:$B,$B14,urban!$I:$I)</f>
        <v>509</v>
      </c>
      <c r="D14" s="76" t="n">
        <f aca="false">IFERROR(C14/G14,0)</f>
        <v>84.8333333333333</v>
      </c>
      <c r="E14" s="68" t="n">
        <f aca="false">'vdm-div'!J39+SUMIF(urban!$B:$B,$B14,urban!$J:$J)</f>
        <v>621</v>
      </c>
      <c r="F14" s="76" t="n">
        <f aca="false">IFERROR(E14/G14,0)</f>
        <v>103.5</v>
      </c>
      <c r="G14" s="77" t="n">
        <f aca="false">'vdm-div'!L39+COUNTIF(urban!$B:$B,$B14)</f>
        <v>6</v>
      </c>
      <c r="H14" s="26" t="n">
        <f aca="false">C14-E14</f>
        <v>-112</v>
      </c>
      <c r="I14" s="27" t="n">
        <f aca="false">IFERROR(H14/E14,0)</f>
        <v>-0.180354267310789</v>
      </c>
    </row>
    <row r="15" customFormat="false" ht="15" hidden="false" customHeight="false" outlineLevel="0" collapsed="false">
      <c r="A15" s="59"/>
      <c r="B15" s="28" t="s">
        <v>37</v>
      </c>
      <c r="C15" s="30" t="n">
        <f aca="false">SUM(C5:INDEX(C:C,ROW()-1))</f>
        <v>7152</v>
      </c>
      <c r="D15" s="71" t="n">
        <f aca="false">IFERROR(C15/G15,0)</f>
        <v>95.36</v>
      </c>
      <c r="E15" s="30" t="n">
        <f aca="false">SUM(E5:INDEX(E:E,ROW()-1))</f>
        <v>8219</v>
      </c>
      <c r="F15" s="71" t="n">
        <f aca="false">IFERROR(E15/G15,0)</f>
        <v>109.586666666667</v>
      </c>
      <c r="G15" s="30" t="n">
        <f aca="false">SUM(G5:INDEX(G:G,ROW()-1))</f>
        <v>75</v>
      </c>
      <c r="H15" s="30" t="n">
        <f aca="false">SUM(H5:INDEX(H:H,ROW()-1))</f>
        <v>-1067</v>
      </c>
      <c r="I15" s="78" t="n">
        <f aca="false">IFERROR(H15/E15,0)</f>
        <v>-0.129821146124833</v>
      </c>
    </row>
    <row r="17" customFormat="false" ht="15" hidden="false" customHeight="false" outlineLevel="0" collapsed="false">
      <c r="A17" s="49" t="s">
        <v>606</v>
      </c>
    </row>
  </sheetData>
  <mergeCells count="9"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conditionalFormatting sqref="H5:I15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48" t="s">
        <v>607</v>
      </c>
    </row>
    <row r="2" customFormat="false" ht="15" hidden="false" customHeight="false" outlineLevel="0" collapsed="false">
      <c r="A2" s="49" t="s">
        <v>608</v>
      </c>
    </row>
    <row r="4" customFormat="false" ht="15" hidden="false" customHeight="false" outlineLevel="0" collapsed="false">
      <c r="A4" s="19" t="s">
        <v>67</v>
      </c>
      <c r="B4" s="19" t="s">
        <v>609</v>
      </c>
      <c r="C4" s="19" t="s">
        <v>610</v>
      </c>
      <c r="D4" s="19" t="s">
        <v>611</v>
      </c>
    </row>
    <row r="5" customFormat="false" ht="15" hidden="false" customHeight="false" outlineLevel="0" collapsed="false">
      <c r="A5" s="36" t="s">
        <v>612</v>
      </c>
      <c r="B5" s="36" t="s">
        <v>613</v>
      </c>
      <c r="C5" s="23" t="n">
        <f aca="false">SUMPRODUCT(('NISD RURAL'!P5:P200&lt;&gt;0)*ISNUMBER('NISD RURAL'!P5:P200))-IF('NISD RURAL'!P15&lt;&gt;0,1,0)</f>
        <v>1</v>
      </c>
      <c r="D5" s="79" t="str">
        <f aca="false">IF(C5=0,"OK","CHECK")</f>
        <v>CHECK</v>
      </c>
    </row>
    <row r="6" customFormat="false" ht="15" hidden="false" customHeight="false" outlineLevel="0" collapsed="false">
      <c r="A6" s="36" t="s">
        <v>614</v>
      </c>
      <c r="B6" s="36" t="s">
        <v>613</v>
      </c>
      <c r="C6" s="23" t="n">
        <f aca="false">SUMPRODUCT(('NISD NATHAM'!Q5:Q200&lt;&gt;0)*ISNUMBER('NISD NATHAM'!Q5:Q200))-IF('NISD NATHAM'!Q15&lt;&gt;0,1,0)</f>
        <v>0</v>
      </c>
      <c r="D6" s="79" t="str">
        <f aca="false">IF(C6=0,"OK","CHECK")</f>
        <v>OK</v>
      </c>
    </row>
    <row r="7" customFormat="false" ht="15" hidden="false" customHeight="false" outlineLevel="0" collapsed="false">
      <c r="A7" s="36" t="s">
        <v>615</v>
      </c>
      <c r="B7" s="36" t="s">
        <v>613</v>
      </c>
      <c r="C7" s="23" t="n">
        <f aca="false">SUMPRODUCT(('URBAN NISD'!Q5:Q200&lt;&gt;0)*ISNUMBER('URBAN NISD'!Q5:Q200))-IF('URBAN NISD'!Q10&lt;&gt;0,1,0)</f>
        <v>0</v>
      </c>
      <c r="D7" s="79" t="str">
        <f aca="false">IF(C7=0,"OK","CHECK")</f>
        <v>OK</v>
      </c>
    </row>
    <row r="8" customFormat="false" ht="15" hidden="false" customHeight="false" outlineLevel="0" collapsed="false">
      <c r="A8" s="36" t="s">
        <v>616</v>
      </c>
      <c r="B8" s="36" t="s">
        <v>613</v>
      </c>
      <c r="C8" s="23" t="n">
        <f aca="false">SUMPRODUCT(('ISD RURAL'!Q5:Q200&lt;&gt;0)*ISNUMBER('ISD RURAL'!Q5:Q200))-IF('ISD RURAL'!Q15&lt;&gt;0,1,0)</f>
        <v>0</v>
      </c>
      <c r="D8" s="79" t="str">
        <f aca="false">IF(C8=0,"OK","CHECK")</f>
        <v>OK</v>
      </c>
    </row>
    <row r="9" customFormat="false" ht="15" hidden="false" customHeight="false" outlineLevel="0" collapsed="false">
      <c r="A9" s="36" t="s">
        <v>617</v>
      </c>
      <c r="B9" s="36" t="s">
        <v>613</v>
      </c>
      <c r="C9" s="23" t="n">
        <f aca="false">SUMPRODUCT(('ISD NATHAM'!R5:R200&lt;&gt;0)*ISNUMBER('ISD NATHAM'!R5:R200))-IF('ISD NATHAM'!R15&lt;&gt;0,1,0)</f>
        <v>0</v>
      </c>
      <c r="D9" s="79" t="str">
        <f aca="false">IF(C9=0,"OK","CHECK")</f>
        <v>OK</v>
      </c>
    </row>
    <row r="10" customFormat="false" ht="15" hidden="false" customHeight="false" outlineLevel="0" collapsed="false">
      <c r="A10" s="36" t="s">
        <v>618</v>
      </c>
      <c r="B10" s="36" t="s">
        <v>613</v>
      </c>
      <c r="C10" s="23" t="n">
        <f aca="false">SUMPRODUCT(('URBAN ISD'!Q5:Q200&lt;&gt;0)*ISNUMBER('URBAN ISD'!Q5:Q200))-IF('URBAN ISD'!Q10&lt;&gt;0,1,0)</f>
        <v>0</v>
      </c>
      <c r="D10" s="79" t="str">
        <f aca="false">IF(C10=0,"OK","CHECK")</f>
        <v>OK</v>
      </c>
    </row>
    <row r="11" customFormat="false" ht="15" hidden="false" customHeight="false" outlineLevel="0" collapsed="false">
      <c r="A11" s="36" t="s">
        <v>619</v>
      </c>
      <c r="B11" s="36" t="s">
        <v>613</v>
      </c>
      <c r="C11" s="23" t="n">
        <f aca="false">SUMPRODUCT(('RURAL FL'!S5:S200&lt;&gt;0)*ISNUMBER('RURAL FL'!S5:S200))-IF('RURAL FL'!S15&lt;&gt;0,1,0)</f>
        <v>0</v>
      </c>
      <c r="D11" s="79" t="str">
        <f aca="false">IF(C11=0,"OK","CHECK")</f>
        <v>OK</v>
      </c>
    </row>
    <row r="12" customFormat="false" ht="15" hidden="false" customHeight="false" outlineLevel="0" collapsed="false">
      <c r="A12" s="36" t="s">
        <v>620</v>
      </c>
      <c r="B12" s="36" t="s">
        <v>613</v>
      </c>
      <c r="C12" s="23" t="n">
        <f aca="false">SUMPRODUCT(('NATHAM FL'!S5:S200&lt;&gt;0)*ISNUMBER('NATHAM FL'!S5:S200))-IF('NATHAM FL'!S15&lt;&gt;0,1,0)</f>
        <v>0</v>
      </c>
      <c r="D12" s="79" t="str">
        <f aca="false">IF(C12=0,"OK","CHECK")</f>
        <v>OK</v>
      </c>
    </row>
    <row r="13" customFormat="false" ht="15" hidden="false" customHeight="false" outlineLevel="0" collapsed="false">
      <c r="A13" s="36" t="s">
        <v>621</v>
      </c>
      <c r="B13" s="36" t="s">
        <v>613</v>
      </c>
      <c r="C13" s="23" t="n">
        <f aca="false">SUMPRODUCT(('URBAN FL'!R5:R200&lt;&gt;0)*ISNUMBER('URBAN FL'!R5:R200))-IF('URBAN FL'!R10&lt;&gt;0,1,0)</f>
        <v>0</v>
      </c>
      <c r="D13" s="79" t="str">
        <f aca="false">IF(C13=0,"OK","CHECK")</f>
        <v>OK</v>
      </c>
    </row>
    <row r="14" customFormat="false" ht="15" hidden="false" customHeight="false" outlineLevel="0" collapsed="false">
      <c r="A14" s="36" t="s">
        <v>85</v>
      </c>
      <c r="B14" s="36" t="s">
        <v>622</v>
      </c>
      <c r="C14" s="23" t="n">
        <f aca="false">SUMPRODUCT(('ISD VAO &amp;NATHAM '!V5:V200&lt;&gt;0)*ISNUMBER('ISD VAO &amp;NATHAM '!V5:V200))-IF('ISD VAO &amp;NATHAM '!V15&lt;&gt;0,1,0)</f>
        <v>0</v>
      </c>
      <c r="D14" s="79" t="str">
        <f aca="false">IF(C14=0,"OK","CHECK")</f>
        <v>OK</v>
      </c>
    </row>
    <row r="15" customFormat="false" ht="15" hidden="false" customHeight="false" outlineLevel="0" collapsed="false">
      <c r="A15" s="73" t="s">
        <v>11</v>
      </c>
      <c r="B15" s="73"/>
      <c r="C15" s="74" t="n">
        <f aca="false">SUM(C5:C14)</f>
        <v>1</v>
      </c>
      <c r="D15" s="72" t="str">
        <f aca="false">IF(C15=0,"ALL OK",C15&amp;" issue(s)")</f>
        <v>1 issue(s)</v>
      </c>
    </row>
    <row r="17" customFormat="false" ht="15" hidden="false" customHeight="false" outlineLevel="0" collapsed="false">
      <c r="A17" s="49" t="s">
        <v>623</v>
      </c>
    </row>
    <row r="18" customFormat="false" ht="15" hidden="false" customHeight="false" outlineLevel="0" collapsed="false">
      <c r="A18" s="80" t="s">
        <v>624</v>
      </c>
    </row>
    <row r="19" customFormat="false" ht="15" hidden="false" customHeight="false" outlineLevel="0" collapsed="false">
      <c r="A19" s="80" t="s">
        <v>625</v>
      </c>
    </row>
    <row r="20" customFormat="false" ht="15" hidden="false" customHeight="false" outlineLevel="0" collapsed="false">
      <c r="A20" s="49" t="s">
        <v>626</v>
      </c>
    </row>
    <row r="21" customFormat="false" ht="15" hidden="false" customHeight="false" outlineLevel="0" collapsed="false">
      <c r="A21" s="80" t="s">
        <v>627</v>
      </c>
    </row>
  </sheetData>
  <conditionalFormatting sqref="D5:D15">
    <cfRule type="expression" priority="2" aboveAverage="0" equalAverage="0" bottom="0" percent="0" rank="0" text="" dxfId="4">
      <formula>LEFT(D5,2)="OK"</formula>
    </cfRule>
    <cfRule type="expression" priority="3" aboveAverage="0" equalAverage="0" bottom="0" percent="0" rank="0" text="" dxfId="4">
      <formula>D5="ALL OK"</formula>
    </cfRule>
    <cfRule type="expression" priority="4" aboveAverage="0" equalAverage="0" bottom="0" percent="0" rank="0" text="" dxfId="6">
      <formula>AND(D5&lt;&gt;"OK",D5&lt;&gt;"ALL OK",D5&lt;&gt;"")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X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4" min="2" style="0" width="13"/>
  </cols>
  <sheetData>
    <row r="1" customFormat="false" ht="16.15" hidden="false" customHeight="false" outlineLevel="0" collapsed="false">
      <c r="A1" s="48" t="s">
        <v>628</v>
      </c>
    </row>
    <row r="2" customFormat="false" ht="22.35" hidden="false" customHeight="false" outlineLevel="0" collapsed="false">
      <c r="A2" s="19" t="s">
        <v>10</v>
      </c>
      <c r="B2" s="19" t="s">
        <v>11</v>
      </c>
      <c r="C2" s="19" t="s">
        <v>5</v>
      </c>
      <c r="D2" s="19" t="s">
        <v>6</v>
      </c>
      <c r="E2" s="19" t="s">
        <v>33</v>
      </c>
      <c r="F2" s="19" t="s">
        <v>13</v>
      </c>
      <c r="G2" s="19" t="s">
        <v>12</v>
      </c>
      <c r="H2" s="19" t="s">
        <v>629</v>
      </c>
      <c r="I2" s="19" t="s">
        <v>630</v>
      </c>
    </row>
    <row r="3" customFormat="false" ht="15" hidden="false" customHeight="false" outlineLevel="0" collapsed="false">
      <c r="A3" s="36" t="s">
        <v>16</v>
      </c>
      <c r="B3" s="67" t="n">
        <f aca="false">'NISD RURAL'!E15</f>
        <v>6738</v>
      </c>
      <c r="C3" s="67" t="n">
        <f aca="false">'NISD RURAL'!J15</f>
        <v>5284</v>
      </c>
      <c r="D3" s="67" t="n">
        <f aca="false">'NISD RURAL'!K15</f>
        <v>1454</v>
      </c>
      <c r="E3" s="21" t="n">
        <f aca="false">D3-F3</f>
        <v>1444</v>
      </c>
      <c r="F3" s="67" t="n">
        <f aca="false">'NISD RURAL'!O15</f>
        <v>10</v>
      </c>
      <c r="G3" s="54" t="n">
        <f aca="false">IFERROR(C3/B3,0)</f>
        <v>0.784208964084298</v>
      </c>
      <c r="H3" s="81" t="n">
        <f aca="false">G3+ROW()/1000000</f>
        <v>0.784211964084298</v>
      </c>
      <c r="I3" s="81" t="n">
        <f aca="false">D3+ROW()/1000000</f>
        <v>1454.000003</v>
      </c>
    </row>
    <row r="4" customFormat="false" ht="15" hidden="false" customHeight="false" outlineLevel="0" collapsed="false">
      <c r="A4" s="36" t="s">
        <v>17</v>
      </c>
      <c r="B4" s="67" t="n">
        <f aca="false">'NISD NATHAM'!F15</f>
        <v>2871</v>
      </c>
      <c r="C4" s="67" t="n">
        <f aca="false">'NISD NATHAM'!K15</f>
        <v>2123</v>
      </c>
      <c r="D4" s="67" t="n">
        <f aca="false">'NISD NATHAM'!L15</f>
        <v>748</v>
      </c>
      <c r="E4" s="21" t="n">
        <f aca="false">D4-F4</f>
        <v>748</v>
      </c>
      <c r="F4" s="67" t="n">
        <f aca="false">'NISD NATHAM'!P15</f>
        <v>0</v>
      </c>
      <c r="G4" s="54" t="n">
        <f aca="false">IFERROR(C4/B4,0)</f>
        <v>0.739463601532567</v>
      </c>
      <c r="H4" s="81" t="n">
        <f aca="false">G4+ROW()/1000000</f>
        <v>0.739467601532567</v>
      </c>
      <c r="I4" s="81" t="n">
        <f aca="false">D4+ROW()/1000000</f>
        <v>748.000004</v>
      </c>
    </row>
    <row r="5" customFormat="false" ht="15" hidden="false" customHeight="false" outlineLevel="0" collapsed="false">
      <c r="A5" s="36" t="s">
        <v>631</v>
      </c>
      <c r="B5" s="67" t="n">
        <f aca="false">'URBAN NISD'!F10</f>
        <v>1024</v>
      </c>
      <c r="C5" s="67" t="n">
        <f aca="false">'URBAN NISD'!K10</f>
        <v>801</v>
      </c>
      <c r="D5" s="67" t="n">
        <f aca="false">'URBAN NISD'!L10</f>
        <v>223</v>
      </c>
      <c r="E5" s="21" t="n">
        <f aca="false">D5-F5</f>
        <v>223</v>
      </c>
      <c r="F5" s="67" t="n">
        <f aca="false">'URBAN NISD'!P10</f>
        <v>0</v>
      </c>
      <c r="G5" s="54" t="n">
        <f aca="false">IFERROR(C5/B5,0)</f>
        <v>0.7822265625</v>
      </c>
      <c r="H5" s="81" t="n">
        <f aca="false">G5+ROW()/1000000</f>
        <v>0.7822315625</v>
      </c>
      <c r="I5" s="81" t="n">
        <f aca="false">D5+ROW()/1000000</f>
        <v>223.000005</v>
      </c>
    </row>
    <row r="6" customFormat="false" ht="15" hidden="false" customHeight="false" outlineLevel="0" collapsed="false">
      <c r="A6" s="36" t="s">
        <v>18</v>
      </c>
      <c r="B6" s="67" t="n">
        <f aca="false">'ISD RURAL'!F15</f>
        <v>7385</v>
      </c>
      <c r="C6" s="67" t="n">
        <f aca="false">'ISD RURAL'!K15</f>
        <v>3947</v>
      </c>
      <c r="D6" s="67" t="n">
        <f aca="false">'ISD RURAL'!L15</f>
        <v>3438</v>
      </c>
      <c r="E6" s="21" t="n">
        <f aca="false">D6-F6</f>
        <v>3401</v>
      </c>
      <c r="F6" s="67" t="n">
        <f aca="false">'ISD RURAL'!P15</f>
        <v>37</v>
      </c>
      <c r="G6" s="54" t="n">
        <f aca="false">IFERROR(C6/B6,0)</f>
        <v>0.534461746784022</v>
      </c>
      <c r="H6" s="81" t="n">
        <f aca="false">G6+ROW()/1000000</f>
        <v>0.534467746784022</v>
      </c>
      <c r="I6" s="81" t="n">
        <f aca="false">D6+ROW()/1000000</f>
        <v>3438.000006</v>
      </c>
    </row>
    <row r="7" customFormat="false" ht="15" hidden="false" customHeight="false" outlineLevel="0" collapsed="false">
      <c r="A7" s="36" t="s">
        <v>19</v>
      </c>
      <c r="B7" s="67" t="n">
        <f aca="false">'ISD NATHAM'!F15</f>
        <v>1690</v>
      </c>
      <c r="C7" s="67" t="n">
        <f aca="false">'ISD NATHAM'!K15</f>
        <v>883</v>
      </c>
      <c r="D7" s="67" t="n">
        <f aca="false">'ISD NATHAM'!L15</f>
        <v>807</v>
      </c>
      <c r="E7" s="21" t="n">
        <f aca="false">D7-F7</f>
        <v>807</v>
      </c>
      <c r="F7" s="67" t="n">
        <f aca="false">'ISD NATHAM'!Q15</f>
        <v>0</v>
      </c>
      <c r="G7" s="54" t="n">
        <f aca="false">IFERROR(C7/B7,0)</f>
        <v>0.522485207100592</v>
      </c>
      <c r="H7" s="81" t="n">
        <f aca="false">G7+ROW()/1000000</f>
        <v>0.522492207100592</v>
      </c>
      <c r="I7" s="81" t="n">
        <f aca="false">D7+ROW()/1000000</f>
        <v>807.000007</v>
      </c>
    </row>
    <row r="8" customFormat="false" ht="15" hidden="false" customHeight="false" outlineLevel="0" collapsed="false">
      <c r="A8" s="36" t="s">
        <v>632</v>
      </c>
      <c r="B8" s="67" t="n">
        <f aca="false">'URBAN ISD'!F10</f>
        <v>730</v>
      </c>
      <c r="C8" s="67" t="n">
        <f aca="false">'URBAN ISD'!K10</f>
        <v>350</v>
      </c>
      <c r="D8" s="67" t="n">
        <f aca="false">'URBAN ISD'!L10</f>
        <v>380</v>
      </c>
      <c r="E8" s="21" t="n">
        <f aca="false">D8-F8</f>
        <v>380</v>
      </c>
      <c r="F8" s="67" t="n">
        <f aca="false">'URBAN ISD'!P10</f>
        <v>0</v>
      </c>
      <c r="G8" s="54" t="n">
        <f aca="false">IFERROR(C8/B8,0)</f>
        <v>0.479452054794521</v>
      </c>
      <c r="H8" s="81" t="n">
        <f aca="false">G8+ROW()/1000000</f>
        <v>0.479460054794521</v>
      </c>
      <c r="I8" s="81" t="n">
        <f aca="false">D8+ROW()/1000000</f>
        <v>380.000008</v>
      </c>
    </row>
    <row r="9" customFormat="false" ht="15" hidden="false" customHeight="false" outlineLevel="0" collapsed="false">
      <c r="A9" s="36" t="s">
        <v>20</v>
      </c>
      <c r="B9" s="67" t="n">
        <f aca="false">'RURAL FL'!E15</f>
        <v>3205</v>
      </c>
      <c r="C9" s="67" t="n">
        <f aca="false">'RURAL FL'!J15</f>
        <v>1258</v>
      </c>
      <c r="D9" s="67" t="n">
        <f aca="false">'RURAL FL'!K15</f>
        <v>1947</v>
      </c>
      <c r="E9" s="21" t="n">
        <f aca="false">D9-F9</f>
        <v>942</v>
      </c>
      <c r="F9" s="67" t="n">
        <f aca="false">'RURAL FL'!R15</f>
        <v>1005</v>
      </c>
      <c r="G9" s="54" t="n">
        <f aca="false">IFERROR(C9/B9,0)</f>
        <v>0.392511700468019</v>
      </c>
      <c r="H9" s="81" t="n">
        <f aca="false">G9+ROW()/1000000</f>
        <v>0.392520700468019</v>
      </c>
      <c r="I9" s="81" t="n">
        <f aca="false">D9+ROW()/1000000</f>
        <v>1947.000009</v>
      </c>
    </row>
    <row r="10" customFormat="false" ht="15" hidden="false" customHeight="false" outlineLevel="0" collapsed="false">
      <c r="A10" s="36" t="s">
        <v>21</v>
      </c>
      <c r="B10" s="67" t="n">
        <f aca="false">'NATHAM FL'!E15</f>
        <v>1597</v>
      </c>
      <c r="C10" s="67" t="n">
        <f aca="false">'NATHAM FL'!J15</f>
        <v>596</v>
      </c>
      <c r="D10" s="67" t="n">
        <f aca="false">'NATHAM FL'!K15</f>
        <v>1001</v>
      </c>
      <c r="E10" s="21" t="n">
        <f aca="false">D10-F10</f>
        <v>529</v>
      </c>
      <c r="F10" s="67" t="n">
        <f aca="false">'NATHAM FL'!R15</f>
        <v>472</v>
      </c>
      <c r="G10" s="54" t="n">
        <f aca="false">IFERROR(C10/B10,0)</f>
        <v>0.373199749530369</v>
      </c>
      <c r="H10" s="81" t="n">
        <f aca="false">G10+ROW()/1000000</f>
        <v>0.373209749530369</v>
      </c>
      <c r="I10" s="81" t="n">
        <f aca="false">D10+ROW()/1000000</f>
        <v>1001.00001</v>
      </c>
    </row>
    <row r="11" customFormat="false" ht="15" hidden="false" customHeight="false" outlineLevel="0" collapsed="false">
      <c r="A11" s="36" t="s">
        <v>633</v>
      </c>
      <c r="B11" s="67" t="n">
        <f aca="false">'URBAN FL'!F10</f>
        <v>182</v>
      </c>
      <c r="C11" s="67" t="n">
        <f aca="false">'URBAN FL'!K10</f>
        <v>64</v>
      </c>
      <c r="D11" s="67" t="n">
        <f aca="false">'URBAN FL'!L10</f>
        <v>118</v>
      </c>
      <c r="E11" s="21" t="n">
        <f aca="false">D11-F11</f>
        <v>78</v>
      </c>
      <c r="F11" s="67" t="n">
        <f aca="false">'URBAN FL'!Q10</f>
        <v>40</v>
      </c>
      <c r="G11" s="54" t="n">
        <f aca="false">IFERROR(C11/B11,0)</f>
        <v>0.351648351648352</v>
      </c>
      <c r="H11" s="81" t="n">
        <f aca="false">G11+ROW()/1000000</f>
        <v>0.351659351648352</v>
      </c>
      <c r="I11" s="81" t="n">
        <f aca="false">D11+ROW()/1000000</f>
        <v>118.000011</v>
      </c>
    </row>
    <row r="14" customFormat="false" ht="22.35" hidden="false" customHeight="false" outlineLevel="0" collapsed="false">
      <c r="A14" s="82" t="s">
        <v>15</v>
      </c>
      <c r="B14" s="19" t="s">
        <v>634</v>
      </c>
      <c r="C14" s="19" t="s">
        <v>635</v>
      </c>
      <c r="D14" s="19" t="s">
        <v>636</v>
      </c>
      <c r="E14" s="19" t="s">
        <v>637</v>
      </c>
      <c r="F14" s="19" t="s">
        <v>638</v>
      </c>
      <c r="G14" s="19" t="s">
        <v>639</v>
      </c>
      <c r="H14" s="19" t="s">
        <v>640</v>
      </c>
      <c r="I14" s="19" t="s">
        <v>641</v>
      </c>
      <c r="J14" s="19" t="s">
        <v>642</v>
      </c>
      <c r="K14" s="19" t="s">
        <v>643</v>
      </c>
      <c r="L14" s="19" t="s">
        <v>644</v>
      </c>
      <c r="M14" s="19" t="s">
        <v>645</v>
      </c>
      <c r="N14" s="19" t="s">
        <v>646</v>
      </c>
      <c r="O14" s="19" t="s">
        <v>647</v>
      </c>
      <c r="P14" s="19" t="s">
        <v>648</v>
      </c>
      <c r="Q14" s="19" t="s">
        <v>649</v>
      </c>
      <c r="R14" s="19" t="s">
        <v>650</v>
      </c>
      <c r="S14" s="19" t="s">
        <v>651</v>
      </c>
      <c r="T14" s="19" t="s">
        <v>652</v>
      </c>
      <c r="U14" s="19" t="s">
        <v>653</v>
      </c>
      <c r="V14" s="19" t="s">
        <v>654</v>
      </c>
      <c r="W14" s="19" t="s">
        <v>655</v>
      </c>
    </row>
    <row r="15" customFormat="false" ht="15" hidden="false" customHeight="false" outlineLevel="0" collapsed="false">
      <c r="A15" s="61" t="s">
        <v>246</v>
      </c>
      <c r="B15" s="67" t="n">
        <f aca="false">SUMIF('NISD RURAL'!$B:$B,$A15,'NISD RURAL'!$E:$E)</f>
        <v>532</v>
      </c>
      <c r="C15" s="67" t="n">
        <f aca="false">SUMIF('NISD RURAL'!$B:$B,$A15,'NISD RURAL'!$J:$J)</f>
        <v>396</v>
      </c>
      <c r="D15" s="67" t="n">
        <f aca="false">SUMIF('NISD NATHAM'!$B:$B,$A15,'NISD NATHAM'!$F:$F)</f>
        <v>338</v>
      </c>
      <c r="E15" s="67" t="n">
        <f aca="false">SUMIF('NISD NATHAM'!$B:$B,$A15,'NISD NATHAM'!$K:$K)</f>
        <v>255</v>
      </c>
      <c r="F15" s="67" t="n">
        <f aca="false">SUMIF('ISD RURAL'!$C:$C,$A15,'ISD RURAL'!$F:$F)</f>
        <v>618</v>
      </c>
      <c r="G15" s="67" t="n">
        <f aca="false">SUMIF('ISD RURAL'!$C:$C,$A15,'ISD RURAL'!$K:$K)</f>
        <v>323</v>
      </c>
      <c r="H15" s="67" t="n">
        <f aca="false">SUMIF('ISD NATHAM'!$B:$B,$A15,'ISD NATHAM'!$F:$F)</f>
        <v>222</v>
      </c>
      <c r="I15" s="67" t="n">
        <f aca="false">SUMIF('ISD NATHAM'!$B:$B,$A15,'ISD NATHAM'!$K:$K)</f>
        <v>117</v>
      </c>
      <c r="J15" s="67" t="n">
        <f aca="false">SUMIF('RURAL FL'!$B:$B,$A15,'RURAL FL'!$E:$E)</f>
        <v>259</v>
      </c>
      <c r="K15" s="67" t="n">
        <f aca="false">SUMIF('RURAL FL'!$B:$B,$A15,'RURAL FL'!$J:$J)</f>
        <v>107</v>
      </c>
      <c r="L15" s="67" t="n">
        <f aca="false">SUMIF('NATHAM FL'!$B:$B,$A15,'NATHAM FL'!$E:$E)</f>
        <v>177</v>
      </c>
      <c r="M15" s="67" t="n">
        <f aca="false">SUMIF('NATHAM FL'!$B:$B,$A15,'NATHAM FL'!$J:$J)</f>
        <v>66</v>
      </c>
      <c r="N15" s="21" t="n">
        <f aca="false">B15+D15+F15+H15+J15+L15</f>
        <v>2146</v>
      </c>
      <c r="O15" s="21" t="n">
        <f aca="false">N15-(C15+E15+G15+I15+K15+M15)</f>
        <v>882</v>
      </c>
      <c r="P15" s="54" t="n">
        <f aca="false">IFERROR(O15/N15,0)</f>
        <v>0.410997204100652</v>
      </c>
      <c r="Q15" s="81" t="n">
        <f aca="false">P15+ROW()/1000000</f>
        <v>0.411012204100652</v>
      </c>
      <c r="R15" s="54" t="n">
        <f aca="false">IFERROR(C15/B15,"")</f>
        <v>0.744360902255639</v>
      </c>
      <c r="S15" s="54" t="n">
        <f aca="false">IFERROR(E15/D15,"")</f>
        <v>0.754437869822485</v>
      </c>
      <c r="T15" s="54" t="n">
        <f aca="false">IFERROR(G15/F15,"")</f>
        <v>0.522653721682848</v>
      </c>
      <c r="U15" s="54" t="n">
        <f aca="false">IFERROR(I15/H15,"")</f>
        <v>0.527027027027027</v>
      </c>
      <c r="V15" s="54" t="n">
        <f aca="false">IFERROR(K15/J15,"")</f>
        <v>0.413127413127413</v>
      </c>
      <c r="W15" s="54" t="n">
        <f aca="false">IFERROR(M15/L15,"")</f>
        <v>0.372881355932203</v>
      </c>
    </row>
    <row r="16" customFormat="false" ht="15" hidden="false" customHeight="false" outlineLevel="0" collapsed="false">
      <c r="A16" s="61" t="s">
        <v>247</v>
      </c>
      <c r="B16" s="67" t="n">
        <f aca="false">SUMIF('NISD RURAL'!$B:$B,$A16,'NISD RURAL'!$E:$E)</f>
        <v>655</v>
      </c>
      <c r="C16" s="67" t="n">
        <f aca="false">SUMIF('NISD RURAL'!$B:$B,$A16,'NISD RURAL'!$J:$J)</f>
        <v>503</v>
      </c>
      <c r="D16" s="67" t="n">
        <f aca="false">SUMIF('NISD NATHAM'!$B:$B,$A16,'NISD NATHAM'!$F:$F)</f>
        <v>317</v>
      </c>
      <c r="E16" s="67" t="n">
        <f aca="false">SUMIF('NISD NATHAM'!$B:$B,$A16,'NISD NATHAM'!$K:$K)</f>
        <v>232</v>
      </c>
      <c r="F16" s="67" t="n">
        <f aca="false">SUMIF('ISD RURAL'!$C:$C,$A16,'ISD RURAL'!$F:$F)</f>
        <v>848</v>
      </c>
      <c r="G16" s="67" t="n">
        <f aca="false">SUMIF('ISD RURAL'!$C:$C,$A16,'ISD RURAL'!$K:$K)</f>
        <v>470</v>
      </c>
      <c r="H16" s="67" t="n">
        <f aca="false">SUMIF('ISD NATHAM'!$B:$B,$A16,'ISD NATHAM'!$F:$F)</f>
        <v>171</v>
      </c>
      <c r="I16" s="67" t="n">
        <f aca="false">SUMIF('ISD NATHAM'!$B:$B,$A16,'ISD NATHAM'!$K:$K)</f>
        <v>79</v>
      </c>
      <c r="J16" s="67" t="n">
        <f aca="false">SUMIF('RURAL FL'!$B:$B,$A16,'RURAL FL'!$E:$E)</f>
        <v>250</v>
      </c>
      <c r="K16" s="67" t="n">
        <f aca="false">SUMIF('RURAL FL'!$B:$B,$A16,'RURAL FL'!$J:$J)</f>
        <v>108</v>
      </c>
      <c r="L16" s="67" t="n">
        <f aca="false">SUMIF('NATHAM FL'!$B:$B,$A16,'NATHAM FL'!$E:$E)</f>
        <v>140</v>
      </c>
      <c r="M16" s="67" t="n">
        <f aca="false">SUMIF('NATHAM FL'!$B:$B,$A16,'NATHAM FL'!$J:$J)</f>
        <v>52</v>
      </c>
      <c r="N16" s="21" t="n">
        <f aca="false">B16+D16+F16+H16+J16+L16</f>
        <v>2381</v>
      </c>
      <c r="O16" s="21" t="n">
        <f aca="false">N16-(C16+E16+G16+I16+K16+M16)</f>
        <v>937</v>
      </c>
      <c r="P16" s="54" t="n">
        <f aca="false">IFERROR(O16/N16,0)</f>
        <v>0.393532129357413</v>
      </c>
      <c r="Q16" s="81" t="n">
        <f aca="false">P16+ROW()/1000000</f>
        <v>0.393548129357413</v>
      </c>
      <c r="R16" s="54" t="n">
        <f aca="false">IFERROR(C16/B16,"")</f>
        <v>0.76793893129771</v>
      </c>
      <c r="S16" s="54" t="n">
        <f aca="false">IFERROR(E16/D16,"")</f>
        <v>0.73186119873817</v>
      </c>
      <c r="T16" s="54" t="n">
        <f aca="false">IFERROR(G16/F16,"")</f>
        <v>0.554245283018868</v>
      </c>
      <c r="U16" s="54" t="n">
        <f aca="false">IFERROR(I16/H16,"")</f>
        <v>0.461988304093567</v>
      </c>
      <c r="V16" s="54" t="n">
        <f aca="false">IFERROR(K16/J16,"")</f>
        <v>0.432</v>
      </c>
      <c r="W16" s="54" t="n">
        <f aca="false">IFERROR(M16/L16,"")</f>
        <v>0.371428571428571</v>
      </c>
    </row>
    <row r="17" customFormat="false" ht="15" hidden="false" customHeight="false" outlineLevel="0" collapsed="false">
      <c r="A17" s="61" t="s">
        <v>248</v>
      </c>
      <c r="B17" s="67" t="n">
        <f aca="false">SUMIF('NISD RURAL'!$B:$B,$A17,'NISD RURAL'!$E:$E)</f>
        <v>665</v>
      </c>
      <c r="C17" s="67" t="n">
        <f aca="false">SUMIF('NISD RURAL'!$B:$B,$A17,'NISD RURAL'!$J:$J)</f>
        <v>499</v>
      </c>
      <c r="D17" s="67" t="n">
        <f aca="false">SUMIF('NISD NATHAM'!$B:$B,$A17,'NISD NATHAM'!$F:$F)</f>
        <v>239</v>
      </c>
      <c r="E17" s="67" t="n">
        <f aca="false">SUMIF('NISD NATHAM'!$B:$B,$A17,'NISD NATHAM'!$K:$K)</f>
        <v>174</v>
      </c>
      <c r="F17" s="67" t="n">
        <f aca="false">SUMIF('ISD RURAL'!$C:$C,$A17,'ISD RURAL'!$F:$F)</f>
        <v>969</v>
      </c>
      <c r="G17" s="67" t="n">
        <f aca="false">SUMIF('ISD RURAL'!$C:$C,$A17,'ISD RURAL'!$K:$K)</f>
        <v>608</v>
      </c>
      <c r="H17" s="67" t="n">
        <f aca="false">SUMIF('ISD NATHAM'!$B:$B,$A17,'ISD NATHAM'!$F:$F)</f>
        <v>167</v>
      </c>
      <c r="I17" s="67" t="n">
        <f aca="false">SUMIF('ISD NATHAM'!$B:$B,$A17,'ISD NATHAM'!$K:$K)</f>
        <v>87</v>
      </c>
      <c r="J17" s="67" t="n">
        <f aca="false">SUMIF('RURAL FL'!$B:$B,$A17,'RURAL FL'!$E:$E)</f>
        <v>292</v>
      </c>
      <c r="K17" s="67" t="n">
        <f aca="false">SUMIF('RURAL FL'!$B:$B,$A17,'RURAL FL'!$J:$J)</f>
        <v>100</v>
      </c>
      <c r="L17" s="67" t="n">
        <f aca="false">SUMIF('NATHAM FL'!$B:$B,$A17,'NATHAM FL'!$E:$E)</f>
        <v>166</v>
      </c>
      <c r="M17" s="67" t="n">
        <f aca="false">SUMIF('NATHAM FL'!$B:$B,$A17,'NATHAM FL'!$J:$J)</f>
        <v>70</v>
      </c>
      <c r="N17" s="21" t="n">
        <f aca="false">B17+D17+F17+H17+J17+L17</f>
        <v>2498</v>
      </c>
      <c r="O17" s="21" t="n">
        <f aca="false">N17-(C17+E17+G17+I17+K17+M17)</f>
        <v>960</v>
      </c>
      <c r="P17" s="54" t="n">
        <f aca="false">IFERROR(O17/N17,0)</f>
        <v>0.384307445956765</v>
      </c>
      <c r="Q17" s="81" t="n">
        <f aca="false">P17+ROW()/1000000</f>
        <v>0.384324445956765</v>
      </c>
      <c r="R17" s="54" t="n">
        <f aca="false">IFERROR(C17/B17,"")</f>
        <v>0.750375939849624</v>
      </c>
      <c r="S17" s="54" t="n">
        <f aca="false">IFERROR(E17/D17,"")</f>
        <v>0.728033472803347</v>
      </c>
      <c r="T17" s="54" t="n">
        <f aca="false">IFERROR(G17/F17,"")</f>
        <v>0.627450980392157</v>
      </c>
      <c r="U17" s="54" t="n">
        <f aca="false">IFERROR(I17/H17,"")</f>
        <v>0.520958083832335</v>
      </c>
      <c r="V17" s="54" t="n">
        <f aca="false">IFERROR(K17/J17,"")</f>
        <v>0.342465753424658</v>
      </c>
      <c r="W17" s="54" t="n">
        <f aca="false">IFERROR(M17/L17,"")</f>
        <v>0.421686746987952</v>
      </c>
    </row>
    <row r="18" customFormat="false" ht="15" hidden="false" customHeight="false" outlineLevel="0" collapsed="false">
      <c r="A18" s="61" t="s">
        <v>249</v>
      </c>
      <c r="B18" s="67" t="n">
        <f aca="false">SUMIF('NISD RURAL'!$B:$B,$A18,'NISD RURAL'!$E:$E)</f>
        <v>588</v>
      </c>
      <c r="C18" s="67" t="n">
        <f aca="false">SUMIF('NISD RURAL'!$B:$B,$A18,'NISD RURAL'!$J:$J)</f>
        <v>459</v>
      </c>
      <c r="D18" s="67" t="n">
        <f aca="false">SUMIF('NISD NATHAM'!$B:$B,$A18,'NISD NATHAM'!$F:$F)</f>
        <v>232</v>
      </c>
      <c r="E18" s="67" t="n">
        <f aca="false">SUMIF('NISD NATHAM'!$B:$B,$A18,'NISD NATHAM'!$K:$K)</f>
        <v>166</v>
      </c>
      <c r="F18" s="67" t="n">
        <f aca="false">SUMIF('ISD RURAL'!$C:$C,$A18,'ISD RURAL'!$F:$F)</f>
        <v>688</v>
      </c>
      <c r="G18" s="67" t="n">
        <f aca="false">SUMIF('ISD RURAL'!$C:$C,$A18,'ISD RURAL'!$K:$K)</f>
        <v>346</v>
      </c>
      <c r="H18" s="67" t="n">
        <f aca="false">SUMIF('ISD NATHAM'!$B:$B,$A18,'ISD NATHAM'!$F:$F)</f>
        <v>150</v>
      </c>
      <c r="I18" s="67" t="n">
        <f aca="false">SUMIF('ISD NATHAM'!$B:$B,$A18,'ISD NATHAM'!$K:$K)</f>
        <v>66</v>
      </c>
      <c r="J18" s="67" t="n">
        <f aca="false">SUMIF('RURAL FL'!$B:$B,$A18,'RURAL FL'!$E:$E)</f>
        <v>217</v>
      </c>
      <c r="K18" s="67" t="n">
        <f aca="false">SUMIF('RURAL FL'!$B:$B,$A18,'RURAL FL'!$J:$J)</f>
        <v>78</v>
      </c>
      <c r="L18" s="67" t="n">
        <f aca="false">SUMIF('NATHAM FL'!$B:$B,$A18,'NATHAM FL'!$E:$E)</f>
        <v>126</v>
      </c>
      <c r="M18" s="67" t="n">
        <f aca="false">SUMIF('NATHAM FL'!$B:$B,$A18,'NATHAM FL'!$J:$J)</f>
        <v>46</v>
      </c>
      <c r="N18" s="21" t="n">
        <f aca="false">B18+D18+F18+H18+J18+L18</f>
        <v>2001</v>
      </c>
      <c r="O18" s="21" t="n">
        <f aca="false">N18-(C18+E18+G18+I18+K18+M18)</f>
        <v>840</v>
      </c>
      <c r="P18" s="54" t="n">
        <f aca="false">IFERROR(O18/N18,0)</f>
        <v>0.419790104947526</v>
      </c>
      <c r="Q18" s="81" t="n">
        <f aca="false">P18+ROW()/1000000</f>
        <v>0.419808104947526</v>
      </c>
      <c r="R18" s="54" t="n">
        <f aca="false">IFERROR(C18/B18,"")</f>
        <v>0.780612244897959</v>
      </c>
      <c r="S18" s="54" t="n">
        <f aca="false">IFERROR(E18/D18,"")</f>
        <v>0.71551724137931</v>
      </c>
      <c r="T18" s="54" t="n">
        <f aca="false">IFERROR(G18/F18,"")</f>
        <v>0.502906976744186</v>
      </c>
      <c r="U18" s="54" t="n">
        <f aca="false">IFERROR(I18/H18,"")</f>
        <v>0.44</v>
      </c>
      <c r="V18" s="54" t="n">
        <f aca="false">IFERROR(K18/J18,"")</f>
        <v>0.359447004608295</v>
      </c>
      <c r="W18" s="54" t="n">
        <f aca="false">IFERROR(M18/L18,"")</f>
        <v>0.365079365079365</v>
      </c>
    </row>
    <row r="19" customFormat="false" ht="15" hidden="false" customHeight="false" outlineLevel="0" collapsed="false">
      <c r="A19" s="61" t="s">
        <v>250</v>
      </c>
      <c r="B19" s="67" t="n">
        <f aca="false">SUMIF('NISD RURAL'!$B:$B,$A19,'NISD RURAL'!$E:$E)</f>
        <v>687</v>
      </c>
      <c r="C19" s="67" t="n">
        <f aca="false">SUMIF('NISD RURAL'!$B:$B,$A19,'NISD RURAL'!$J:$J)</f>
        <v>506</v>
      </c>
      <c r="D19" s="67" t="n">
        <f aca="false">SUMIF('NISD NATHAM'!$B:$B,$A19,'NISD NATHAM'!$F:$F)</f>
        <v>241</v>
      </c>
      <c r="E19" s="67" t="n">
        <f aca="false">SUMIF('NISD NATHAM'!$B:$B,$A19,'NISD NATHAM'!$K:$K)</f>
        <v>191</v>
      </c>
      <c r="F19" s="67" t="n">
        <f aca="false">SUMIF('ISD RURAL'!$C:$C,$A19,'ISD RURAL'!$F:$F)</f>
        <v>912</v>
      </c>
      <c r="G19" s="67" t="n">
        <f aca="false">SUMIF('ISD RURAL'!$C:$C,$A19,'ISD RURAL'!$K:$K)</f>
        <v>501</v>
      </c>
      <c r="H19" s="67" t="n">
        <f aca="false">SUMIF('ISD NATHAM'!$B:$B,$A19,'ISD NATHAM'!$F:$F)</f>
        <v>175</v>
      </c>
      <c r="I19" s="67" t="n">
        <f aca="false">SUMIF('ISD NATHAM'!$B:$B,$A19,'ISD NATHAM'!$K:$K)</f>
        <v>113</v>
      </c>
      <c r="J19" s="67" t="n">
        <f aca="false">SUMIF('RURAL FL'!$B:$B,$A19,'RURAL FL'!$E:$E)</f>
        <v>353</v>
      </c>
      <c r="K19" s="67" t="n">
        <f aca="false">SUMIF('RURAL FL'!$B:$B,$A19,'RURAL FL'!$J:$J)</f>
        <v>133</v>
      </c>
      <c r="L19" s="67" t="n">
        <f aca="false">SUMIF('NATHAM FL'!$B:$B,$A19,'NATHAM FL'!$E:$E)</f>
        <v>154</v>
      </c>
      <c r="M19" s="67" t="n">
        <f aca="false">SUMIF('NATHAM FL'!$B:$B,$A19,'NATHAM FL'!$J:$J)</f>
        <v>56</v>
      </c>
      <c r="N19" s="21" t="n">
        <f aca="false">B19+D19+F19+H19+J19+L19</f>
        <v>2522</v>
      </c>
      <c r="O19" s="21" t="n">
        <f aca="false">N19-(C19+E19+G19+I19+K19+M19)</f>
        <v>1022</v>
      </c>
      <c r="P19" s="54" t="n">
        <f aca="false">IFERROR(O19/N19,0)</f>
        <v>0.405233941316416</v>
      </c>
      <c r="Q19" s="81" t="n">
        <f aca="false">P19+ROW()/1000000</f>
        <v>0.405252941316416</v>
      </c>
      <c r="R19" s="54" t="n">
        <f aca="false">IFERROR(C19/B19,"")</f>
        <v>0.736535662299855</v>
      </c>
      <c r="S19" s="54" t="n">
        <f aca="false">IFERROR(E19/D19,"")</f>
        <v>0.79253112033195</v>
      </c>
      <c r="T19" s="54" t="n">
        <f aca="false">IFERROR(G19/F19,"")</f>
        <v>0.549342105263158</v>
      </c>
      <c r="U19" s="54" t="n">
        <f aca="false">IFERROR(I19/H19,"")</f>
        <v>0.645714285714286</v>
      </c>
      <c r="V19" s="54" t="n">
        <f aca="false">IFERROR(K19/J19,"")</f>
        <v>0.376770538243626</v>
      </c>
      <c r="W19" s="54" t="n">
        <f aca="false">IFERROR(M19/L19,"")</f>
        <v>0.363636363636364</v>
      </c>
    </row>
    <row r="20" customFormat="false" ht="15" hidden="false" customHeight="false" outlineLevel="0" collapsed="false">
      <c r="A20" s="61" t="s">
        <v>251</v>
      </c>
      <c r="B20" s="67" t="n">
        <f aca="false">SUMIF('NISD RURAL'!$B:$B,$A20,'NISD RURAL'!$E:$E)</f>
        <v>976</v>
      </c>
      <c r="C20" s="67" t="n">
        <f aca="false">SUMIF('NISD RURAL'!$B:$B,$A20,'NISD RURAL'!$J:$J)</f>
        <v>719</v>
      </c>
      <c r="D20" s="67" t="n">
        <f aca="false">SUMIF('NISD NATHAM'!$B:$B,$A20,'NISD NATHAM'!$F:$F)</f>
        <v>389</v>
      </c>
      <c r="E20" s="67" t="n">
        <f aca="false">SUMIF('NISD NATHAM'!$B:$B,$A20,'NISD NATHAM'!$K:$K)</f>
        <v>292</v>
      </c>
      <c r="F20" s="67" t="n">
        <f aca="false">SUMIF('ISD RURAL'!$C:$C,$A20,'ISD RURAL'!$F:$F)</f>
        <v>1030</v>
      </c>
      <c r="G20" s="67" t="n">
        <f aca="false">SUMIF('ISD RURAL'!$C:$C,$A20,'ISD RURAL'!$K:$K)</f>
        <v>528</v>
      </c>
      <c r="H20" s="67" t="n">
        <f aca="false">SUMIF('ISD NATHAM'!$B:$B,$A20,'ISD NATHAM'!$F:$F)</f>
        <v>237</v>
      </c>
      <c r="I20" s="67" t="n">
        <f aca="false">SUMIF('ISD NATHAM'!$B:$B,$A20,'ISD NATHAM'!$K:$K)</f>
        <v>127</v>
      </c>
      <c r="J20" s="67" t="n">
        <f aca="false">SUMIF('RURAL FL'!$B:$B,$A20,'RURAL FL'!$E:$E)</f>
        <v>373</v>
      </c>
      <c r="K20" s="67" t="n">
        <f aca="false">SUMIF('RURAL FL'!$B:$B,$A20,'RURAL FL'!$J:$J)</f>
        <v>128</v>
      </c>
      <c r="L20" s="67" t="n">
        <f aca="false">SUMIF('NATHAM FL'!$B:$B,$A20,'NATHAM FL'!$E:$E)</f>
        <v>204</v>
      </c>
      <c r="M20" s="67" t="n">
        <f aca="false">SUMIF('NATHAM FL'!$B:$B,$A20,'NATHAM FL'!$J:$J)</f>
        <v>78</v>
      </c>
      <c r="N20" s="21" t="n">
        <f aca="false">B20+D20+F20+H20+J20+L20</f>
        <v>3209</v>
      </c>
      <c r="O20" s="21" t="n">
        <f aca="false">N20-(C20+E20+G20+I20+K20+M20)</f>
        <v>1337</v>
      </c>
      <c r="P20" s="54" t="n">
        <f aca="false">IFERROR(O20/N20,0)</f>
        <v>0.416640698036772</v>
      </c>
      <c r="Q20" s="81" t="n">
        <f aca="false">P20+ROW()/1000000</f>
        <v>0.416660698036772</v>
      </c>
      <c r="R20" s="54" t="n">
        <f aca="false">IFERROR(C20/B20,"")</f>
        <v>0.736680327868853</v>
      </c>
      <c r="S20" s="54" t="n">
        <f aca="false">IFERROR(E20/D20,"")</f>
        <v>0.750642673521851</v>
      </c>
      <c r="T20" s="54" t="n">
        <f aca="false">IFERROR(G20/F20,"")</f>
        <v>0.512621359223301</v>
      </c>
      <c r="U20" s="54" t="n">
        <f aca="false">IFERROR(I20/H20,"")</f>
        <v>0.535864978902954</v>
      </c>
      <c r="V20" s="54" t="n">
        <f aca="false">IFERROR(K20/J20,"")</f>
        <v>0.343163538873995</v>
      </c>
      <c r="W20" s="54" t="n">
        <f aca="false">IFERROR(M20/L20,"")</f>
        <v>0.382352941176471</v>
      </c>
    </row>
    <row r="21" customFormat="false" ht="15" hidden="false" customHeight="false" outlineLevel="0" collapsed="false">
      <c r="A21" s="61" t="s">
        <v>252</v>
      </c>
      <c r="B21" s="67" t="n">
        <f aca="false">SUMIF('NISD RURAL'!$B:$B,$A21,'NISD RURAL'!$E:$E)</f>
        <v>335</v>
      </c>
      <c r="C21" s="67" t="n">
        <f aca="false">SUMIF('NISD RURAL'!$B:$B,$A21,'NISD RURAL'!$J:$J)</f>
        <v>258</v>
      </c>
      <c r="D21" s="67" t="n">
        <f aca="false">SUMIF('NISD NATHAM'!$B:$B,$A21,'NISD NATHAM'!$F:$F)</f>
        <v>125</v>
      </c>
      <c r="E21" s="67" t="n">
        <f aca="false">SUMIF('NISD NATHAM'!$B:$B,$A21,'NISD NATHAM'!$K:$K)</f>
        <v>91</v>
      </c>
      <c r="F21" s="67" t="n">
        <f aca="false">SUMIF('ISD RURAL'!$C:$C,$A21,'ISD RURAL'!$F:$F)</f>
        <v>255</v>
      </c>
      <c r="G21" s="67" t="n">
        <f aca="false">SUMIF('ISD RURAL'!$C:$C,$A21,'ISD RURAL'!$K:$K)</f>
        <v>137</v>
      </c>
      <c r="H21" s="67" t="n">
        <f aca="false">SUMIF('ISD NATHAM'!$B:$B,$A21,'ISD NATHAM'!$F:$F)</f>
        <v>74</v>
      </c>
      <c r="I21" s="67" t="n">
        <f aca="false">SUMIF('ISD NATHAM'!$B:$B,$A21,'ISD NATHAM'!$K:$K)</f>
        <v>36</v>
      </c>
      <c r="J21" s="67" t="n">
        <f aca="false">SUMIF('RURAL FL'!$B:$B,$A21,'RURAL FL'!$E:$E)</f>
        <v>189</v>
      </c>
      <c r="K21" s="67" t="n">
        <f aca="false">SUMIF('RURAL FL'!$B:$B,$A21,'RURAL FL'!$J:$J)</f>
        <v>70</v>
      </c>
      <c r="L21" s="67" t="n">
        <f aca="false">SUMIF('NATHAM FL'!$B:$B,$A21,'NATHAM FL'!$E:$E)</f>
        <v>98</v>
      </c>
      <c r="M21" s="67" t="n">
        <f aca="false">SUMIF('NATHAM FL'!$B:$B,$A21,'NATHAM FL'!$J:$J)</f>
        <v>34</v>
      </c>
      <c r="N21" s="21" t="n">
        <f aca="false">B21+D21+F21+H21+J21+L21</f>
        <v>1076</v>
      </c>
      <c r="O21" s="21" t="n">
        <f aca="false">N21-(C21+E21+G21+I21+K21+M21)</f>
        <v>450</v>
      </c>
      <c r="P21" s="54" t="n">
        <f aca="false">IFERROR(O21/N21,0)</f>
        <v>0.4182156133829</v>
      </c>
      <c r="Q21" s="81" t="n">
        <f aca="false">P21+ROW()/1000000</f>
        <v>0.4182366133829</v>
      </c>
      <c r="R21" s="54" t="n">
        <f aca="false">IFERROR(C21/B21,"")</f>
        <v>0.770149253731343</v>
      </c>
      <c r="S21" s="54" t="n">
        <f aca="false">IFERROR(E21/D21,"")</f>
        <v>0.728</v>
      </c>
      <c r="T21" s="54" t="n">
        <f aca="false">IFERROR(G21/F21,"")</f>
        <v>0.537254901960784</v>
      </c>
      <c r="U21" s="54" t="n">
        <f aca="false">IFERROR(I21/H21,"")</f>
        <v>0.486486486486487</v>
      </c>
      <c r="V21" s="54" t="n">
        <f aca="false">IFERROR(K21/J21,"")</f>
        <v>0.37037037037037</v>
      </c>
      <c r="W21" s="54" t="n">
        <f aca="false">IFERROR(M21/L21,"")</f>
        <v>0.346938775510204</v>
      </c>
    </row>
    <row r="22" customFormat="false" ht="15" hidden="false" customHeight="false" outlineLevel="0" collapsed="false">
      <c r="A22" s="61" t="s">
        <v>253</v>
      </c>
      <c r="B22" s="67" t="n">
        <f aca="false">SUMIF('NISD RURAL'!$B:$B,$A22,'NISD RURAL'!$E:$E)</f>
        <v>824</v>
      </c>
      <c r="C22" s="67" t="n">
        <f aca="false">SUMIF('NISD RURAL'!$B:$B,$A22,'NISD RURAL'!$J:$J)</f>
        <v>672</v>
      </c>
      <c r="D22" s="67" t="n">
        <f aca="false">SUMIF('NISD NATHAM'!$B:$B,$A22,'NISD NATHAM'!$F:$F)</f>
        <v>353</v>
      </c>
      <c r="E22" s="67" t="n">
        <f aca="false">SUMIF('NISD NATHAM'!$B:$B,$A22,'NISD NATHAM'!$K:$K)</f>
        <v>282</v>
      </c>
      <c r="F22" s="67" t="n">
        <f aca="false">SUMIF('ISD RURAL'!$C:$C,$A22,'ISD RURAL'!$F:$F)</f>
        <v>527</v>
      </c>
      <c r="G22" s="67" t="n">
        <f aca="false">SUMIF('ISD RURAL'!$C:$C,$A22,'ISD RURAL'!$K:$K)</f>
        <v>247</v>
      </c>
      <c r="H22" s="67" t="n">
        <f aca="false">SUMIF('ISD NATHAM'!$B:$B,$A22,'ISD NATHAM'!$F:$F)</f>
        <v>154</v>
      </c>
      <c r="I22" s="67" t="n">
        <f aca="false">SUMIF('ISD NATHAM'!$B:$B,$A22,'ISD NATHAM'!$K:$K)</f>
        <v>69</v>
      </c>
      <c r="J22" s="67" t="n">
        <f aca="false">SUMIF('RURAL FL'!$B:$B,$A22,'RURAL FL'!$E:$E)</f>
        <v>484</v>
      </c>
      <c r="K22" s="67" t="n">
        <f aca="false">SUMIF('RURAL FL'!$B:$B,$A22,'RURAL FL'!$J:$J)</f>
        <v>219</v>
      </c>
      <c r="L22" s="67" t="n">
        <f aca="false">SUMIF('NATHAM FL'!$B:$B,$A22,'NATHAM FL'!$E:$E)</f>
        <v>205</v>
      </c>
      <c r="M22" s="67" t="n">
        <f aca="false">SUMIF('NATHAM FL'!$B:$B,$A22,'NATHAM FL'!$J:$J)</f>
        <v>76</v>
      </c>
      <c r="N22" s="21" t="n">
        <f aca="false">B22+D22+F22+H22+J22+L22</f>
        <v>2547</v>
      </c>
      <c r="O22" s="21" t="n">
        <f aca="false">N22-(C22+E22+G22+I22+K22+M22)</f>
        <v>982</v>
      </c>
      <c r="P22" s="54" t="n">
        <f aca="false">IFERROR(O22/N22,0)</f>
        <v>0.385551629367884</v>
      </c>
      <c r="Q22" s="81" t="n">
        <f aca="false">P22+ROW()/1000000</f>
        <v>0.385573629367884</v>
      </c>
      <c r="R22" s="54" t="n">
        <f aca="false">IFERROR(C22/B22,"")</f>
        <v>0.815533980582524</v>
      </c>
      <c r="S22" s="54" t="n">
        <f aca="false">IFERROR(E22/D22,"")</f>
        <v>0.798866855524079</v>
      </c>
      <c r="T22" s="54" t="n">
        <f aca="false">IFERROR(G22/F22,"")</f>
        <v>0.468690702087287</v>
      </c>
      <c r="U22" s="54" t="n">
        <f aca="false">IFERROR(I22/H22,"")</f>
        <v>0.448051948051948</v>
      </c>
      <c r="V22" s="54" t="n">
        <f aca="false">IFERROR(K22/J22,"")</f>
        <v>0.452479338842975</v>
      </c>
      <c r="W22" s="54" t="n">
        <f aca="false">IFERROR(M22/L22,"")</f>
        <v>0.370731707317073</v>
      </c>
    </row>
    <row r="23" customFormat="false" ht="15" hidden="false" customHeight="false" outlineLevel="0" collapsed="false">
      <c r="A23" s="61" t="s">
        <v>254</v>
      </c>
      <c r="B23" s="67" t="n">
        <f aca="false">SUMIF('NISD RURAL'!$B:$B,$A23,'NISD RURAL'!$E:$E)</f>
        <v>723</v>
      </c>
      <c r="C23" s="67" t="n">
        <f aca="false">SUMIF('NISD RURAL'!$B:$B,$A23,'NISD RURAL'!$J:$J)</f>
        <v>542</v>
      </c>
      <c r="D23" s="67" t="n">
        <f aca="false">SUMIF('NISD NATHAM'!$B:$B,$A23,'NISD NATHAM'!$F:$F)</f>
        <v>227</v>
      </c>
      <c r="E23" s="67" t="n">
        <f aca="false">SUMIF('NISD NATHAM'!$B:$B,$A23,'NISD NATHAM'!$K:$K)</f>
        <v>174</v>
      </c>
      <c r="F23" s="67" t="n">
        <f aca="false">SUMIF('ISD RURAL'!$C:$C,$A23,'ISD RURAL'!$F:$F)</f>
        <v>669</v>
      </c>
      <c r="G23" s="67" t="n">
        <f aca="false">SUMIF('ISD RURAL'!$C:$C,$A23,'ISD RURAL'!$K:$K)</f>
        <v>341</v>
      </c>
      <c r="H23" s="67" t="n">
        <f aca="false">SUMIF('ISD NATHAM'!$B:$B,$A23,'ISD NATHAM'!$F:$F)</f>
        <v>114</v>
      </c>
      <c r="I23" s="67" t="n">
        <f aca="false">SUMIF('ISD NATHAM'!$B:$B,$A23,'ISD NATHAM'!$K:$K)</f>
        <v>76</v>
      </c>
      <c r="J23" s="67" t="n">
        <f aca="false">SUMIF('RURAL FL'!$B:$B,$A23,'RURAL FL'!$E:$E)</f>
        <v>250</v>
      </c>
      <c r="K23" s="67" t="n">
        <f aca="false">SUMIF('RURAL FL'!$B:$B,$A23,'RURAL FL'!$J:$J)</f>
        <v>116</v>
      </c>
      <c r="L23" s="67" t="n">
        <f aca="false">SUMIF('NATHAM FL'!$B:$B,$A23,'NATHAM FL'!$E:$E)</f>
        <v>92</v>
      </c>
      <c r="M23" s="67" t="n">
        <f aca="false">SUMIF('NATHAM FL'!$B:$B,$A23,'NATHAM FL'!$J:$J)</f>
        <v>39</v>
      </c>
      <c r="N23" s="21" t="n">
        <f aca="false">B23+D23+F23+H23+J23+L23</f>
        <v>2075</v>
      </c>
      <c r="O23" s="21" t="n">
        <f aca="false">N23-(C23+E23+G23+I23+K23+M23)</f>
        <v>787</v>
      </c>
      <c r="P23" s="54" t="n">
        <f aca="false">IFERROR(O23/N23,0)</f>
        <v>0.379277108433735</v>
      </c>
      <c r="Q23" s="81" t="n">
        <f aca="false">P23+ROW()/1000000</f>
        <v>0.379300108433735</v>
      </c>
      <c r="R23" s="54" t="n">
        <f aca="false">IFERROR(C23/B23,"")</f>
        <v>0.749654218533887</v>
      </c>
      <c r="S23" s="54" t="n">
        <f aca="false">IFERROR(E23/D23,"")</f>
        <v>0.766519823788546</v>
      </c>
      <c r="T23" s="54" t="n">
        <f aca="false">IFERROR(G23/F23,"")</f>
        <v>0.509715994020927</v>
      </c>
      <c r="U23" s="54" t="n">
        <f aca="false">IFERROR(I23/H23,"")</f>
        <v>0.666666666666667</v>
      </c>
      <c r="V23" s="54" t="n">
        <f aca="false">IFERROR(K23/J23,"")</f>
        <v>0.464</v>
      </c>
      <c r="W23" s="54" t="n">
        <f aca="false">IFERROR(M23/L23,"")</f>
        <v>0.423913043478261</v>
      </c>
    </row>
    <row r="24" customFormat="false" ht="15" hidden="false" customHeight="false" outlineLevel="0" collapsed="false">
      <c r="A24" s="61" t="s">
        <v>255</v>
      </c>
      <c r="B24" s="67" t="n">
        <f aca="false">SUMIF('NISD RURAL'!$B:$B,$A24,'NISD RURAL'!$E:$E)</f>
        <v>753</v>
      </c>
      <c r="C24" s="67" t="n">
        <f aca="false">SUMIF('NISD RURAL'!$B:$B,$A24,'NISD RURAL'!$J:$J)</f>
        <v>730</v>
      </c>
      <c r="D24" s="67" t="n">
        <f aca="false">SUMIF('NISD NATHAM'!$B:$B,$A24,'NISD NATHAM'!$F:$F)</f>
        <v>410</v>
      </c>
      <c r="E24" s="67" t="n">
        <f aca="false">SUMIF('NISD NATHAM'!$B:$B,$A24,'NISD NATHAM'!$K:$K)</f>
        <v>266</v>
      </c>
      <c r="F24" s="67" t="n">
        <f aca="false">SUMIF('ISD RURAL'!$C:$C,$A24,'ISD RURAL'!$F:$F)</f>
        <v>869</v>
      </c>
      <c r="G24" s="67" t="n">
        <f aca="false">SUMIF('ISD RURAL'!$C:$C,$A24,'ISD RURAL'!$K:$K)</f>
        <v>446</v>
      </c>
      <c r="H24" s="67" t="n">
        <f aca="false">SUMIF('ISD NATHAM'!$B:$B,$A24,'ISD NATHAM'!$F:$F)</f>
        <v>226</v>
      </c>
      <c r="I24" s="67" t="n">
        <f aca="false">SUMIF('ISD NATHAM'!$B:$B,$A24,'ISD NATHAM'!$K:$K)</f>
        <v>113</v>
      </c>
      <c r="J24" s="67" t="n">
        <f aca="false">SUMIF('RURAL FL'!$B:$B,$A24,'RURAL FL'!$E:$E)</f>
        <v>538</v>
      </c>
      <c r="K24" s="67" t="n">
        <f aca="false">SUMIF('RURAL FL'!$B:$B,$A24,'RURAL FL'!$J:$J)</f>
        <v>199</v>
      </c>
      <c r="L24" s="67" t="n">
        <f aca="false">SUMIF('NATHAM FL'!$B:$B,$A24,'NATHAM FL'!$E:$E)</f>
        <v>235</v>
      </c>
      <c r="M24" s="67" t="n">
        <f aca="false">SUMIF('NATHAM FL'!$B:$B,$A24,'NATHAM FL'!$J:$J)</f>
        <v>79</v>
      </c>
      <c r="N24" s="21" t="n">
        <f aca="false">B24+D24+F24+H24+J24+L24</f>
        <v>3031</v>
      </c>
      <c r="O24" s="21" t="n">
        <f aca="false">N24-(C24+E24+G24+I24+K24+M24)</f>
        <v>1198</v>
      </c>
      <c r="P24" s="54" t="n">
        <f aca="false">IFERROR(O24/N24,0)</f>
        <v>0.395249092708677</v>
      </c>
      <c r="Q24" s="81" t="n">
        <f aca="false">P24+ROW()/1000000</f>
        <v>0.395273092708677</v>
      </c>
      <c r="R24" s="54" t="n">
        <f aca="false">IFERROR(C24/B24,"")</f>
        <v>0.969455511288181</v>
      </c>
      <c r="S24" s="54" t="n">
        <f aca="false">IFERROR(E24/D24,"")</f>
        <v>0.648780487804878</v>
      </c>
      <c r="T24" s="54" t="n">
        <f aca="false">IFERROR(G24/F24,"")</f>
        <v>0.513233601841197</v>
      </c>
      <c r="U24" s="54" t="n">
        <f aca="false">IFERROR(I24/H24,"")</f>
        <v>0.5</v>
      </c>
      <c r="V24" s="54" t="n">
        <f aca="false">IFERROR(K24/J24,"")</f>
        <v>0.369888475836431</v>
      </c>
      <c r="W24" s="54" t="n">
        <f aca="false">IFERROR(M24/L24,"")</f>
        <v>0.336170212765957</v>
      </c>
    </row>
    <row r="25" customFormat="false" ht="15" hidden="false" customHeight="false" outlineLevel="0" collapsed="false">
      <c r="A25" s="20" t="s">
        <v>24</v>
      </c>
      <c r="B25" s="21" t="n">
        <f aca="false">B3</f>
        <v>6738</v>
      </c>
      <c r="C25" s="21" t="n">
        <f aca="false">C3</f>
        <v>5284</v>
      </c>
      <c r="D25" s="21" t="n">
        <f aca="false">B4</f>
        <v>2871</v>
      </c>
      <c r="E25" s="21" t="n">
        <f aca="false">C4</f>
        <v>2123</v>
      </c>
      <c r="F25" s="21" t="n">
        <f aca="false">B6</f>
        <v>7385</v>
      </c>
      <c r="G25" s="21" t="n">
        <f aca="false">C6</f>
        <v>3947</v>
      </c>
      <c r="H25" s="21" t="n">
        <f aca="false">B7</f>
        <v>1690</v>
      </c>
      <c r="I25" s="21" t="n">
        <f aca="false">C7</f>
        <v>883</v>
      </c>
      <c r="J25" s="21" t="n">
        <f aca="false">B9</f>
        <v>3205</v>
      </c>
      <c r="K25" s="21" t="n">
        <f aca="false">C9</f>
        <v>1258</v>
      </c>
      <c r="L25" s="21" t="n">
        <f aca="false">B10</f>
        <v>1597</v>
      </c>
      <c r="M25" s="21" t="n">
        <f aca="false">C10</f>
        <v>596</v>
      </c>
      <c r="N25" s="21" t="n">
        <f aca="false">B25+D25+F25+H25+J25+L25</f>
        <v>23486</v>
      </c>
      <c r="O25" s="21" t="n">
        <f aca="false">N25-(C25+E25+G25+I25+K25+M25)</f>
        <v>9395</v>
      </c>
      <c r="P25" s="54" t="n">
        <f aca="false">IFERROR(O25/N25,0)</f>
        <v>0.400025547134463</v>
      </c>
      <c r="R25" s="54" t="n">
        <f aca="false">IFERROR(C3/B3,"")</f>
        <v>0.784208964084298</v>
      </c>
      <c r="S25" s="54" t="n">
        <f aca="false">IFERROR(C4/B4,"")</f>
        <v>0.739463601532567</v>
      </c>
      <c r="T25" s="54" t="n">
        <f aca="false">IFERROR(C6/B6,"")</f>
        <v>0.534461746784022</v>
      </c>
      <c r="U25" s="54" t="n">
        <f aca="false">IFERROR(C7/B7,"")</f>
        <v>0.522485207100592</v>
      </c>
      <c r="V25" s="54" t="n">
        <f aca="false">IFERROR(C9/B9,"")</f>
        <v>0.392511700468019</v>
      </c>
      <c r="W25" s="54" t="n">
        <f aca="false">IFERROR(C10/B10,"")</f>
        <v>0.373199749530369</v>
      </c>
    </row>
    <row r="26" customFormat="false" ht="15" hidden="false" customHeight="false" outlineLevel="0" collapsed="false">
      <c r="A26" s="49" t="s">
        <v>656</v>
      </c>
    </row>
    <row r="29" customFormat="false" ht="15" hidden="false" customHeight="false" outlineLevel="0" collapsed="false">
      <c r="A29" s="82" t="s">
        <v>15</v>
      </c>
      <c r="B29" s="82" t="s">
        <v>657</v>
      </c>
      <c r="C29" s="82" t="s">
        <v>658</v>
      </c>
      <c r="D29" s="82" t="s">
        <v>649</v>
      </c>
    </row>
    <row r="30" customFormat="false" ht="15" hidden="false" customHeight="false" outlineLevel="0" collapsed="false">
      <c r="A30" s="83" t="str">
        <f aca="false">abstract!B5</f>
        <v>Cuddalore</v>
      </c>
      <c r="B30" s="67" t="n">
        <f aca="false">abstract!C5</f>
        <v>1149</v>
      </c>
      <c r="C30" s="67" t="n">
        <f aca="false">abstract!E5</f>
        <v>1165</v>
      </c>
      <c r="D30" s="81" t="n">
        <f aca="false">B30+ROW()/1000000</f>
        <v>1149.00003</v>
      </c>
    </row>
    <row r="31" customFormat="false" ht="15" hidden="false" customHeight="false" outlineLevel="0" collapsed="false">
      <c r="A31" s="83" t="str">
        <f aca="false">abstract!B6</f>
        <v>Panruti</v>
      </c>
      <c r="B31" s="67" t="n">
        <f aca="false">abstract!C6</f>
        <v>1254</v>
      </c>
      <c r="C31" s="67" t="n">
        <f aca="false">abstract!E6</f>
        <v>1300</v>
      </c>
      <c r="D31" s="81" t="n">
        <f aca="false">B31+ROW()/1000000</f>
        <v>1254.000031</v>
      </c>
    </row>
    <row r="32" customFormat="false" ht="15" hidden="false" customHeight="false" outlineLevel="0" collapsed="false">
      <c r="A32" s="83" t="str">
        <f aca="false">abstract!B7</f>
        <v>Kurinjipadi</v>
      </c>
      <c r="B32" s="67" t="n">
        <f aca="false">abstract!C7</f>
        <v>755</v>
      </c>
      <c r="C32" s="67" t="n">
        <f aca="false">abstract!E7</f>
        <v>921</v>
      </c>
      <c r="D32" s="81" t="n">
        <f aca="false">B32+ROW()/1000000</f>
        <v>755.000032</v>
      </c>
    </row>
    <row r="33" customFormat="false" ht="15" hidden="false" customHeight="false" outlineLevel="0" collapsed="false">
      <c r="A33" s="83" t="str">
        <f aca="false">abstract!B8</f>
        <v>Chidambaram</v>
      </c>
      <c r="B33" s="67" t="n">
        <f aca="false">abstract!C8</f>
        <v>678</v>
      </c>
      <c r="C33" s="67" t="n">
        <f aca="false">abstract!E8</f>
        <v>823</v>
      </c>
      <c r="D33" s="81" t="n">
        <f aca="false">B33+ROW()/1000000</f>
        <v>678.000033</v>
      </c>
    </row>
    <row r="34" customFormat="false" ht="15" hidden="false" customHeight="false" outlineLevel="0" collapsed="false">
      <c r="A34" s="83" t="str">
        <f aca="false">abstract!B9</f>
        <v>Bhuvanagiri</v>
      </c>
      <c r="B34" s="67" t="n">
        <f aca="false">abstract!C9</f>
        <v>537</v>
      </c>
      <c r="C34" s="67" t="n">
        <f aca="false">abstract!E9</f>
        <v>686</v>
      </c>
      <c r="D34" s="81" t="n">
        <f aca="false">B34+ROW()/1000000</f>
        <v>537.000034</v>
      </c>
    </row>
    <row r="35" customFormat="false" ht="15" hidden="false" customHeight="false" outlineLevel="0" collapsed="false">
      <c r="A35" s="83" t="str">
        <f aca="false">abstract!B10</f>
        <v>Kattumannarkoil</v>
      </c>
      <c r="B35" s="67" t="n">
        <f aca="false">abstract!C10</f>
        <v>434</v>
      </c>
      <c r="C35" s="67" t="n">
        <f aca="false">abstract!E10</f>
        <v>612</v>
      </c>
      <c r="D35" s="81" t="n">
        <f aca="false">B35+ROW()/1000000</f>
        <v>434.000035</v>
      </c>
    </row>
    <row r="36" customFormat="false" ht="15" hidden="false" customHeight="false" outlineLevel="0" collapsed="false">
      <c r="A36" s="83" t="str">
        <f aca="false">abstract!B11</f>
        <v>Srimushnam</v>
      </c>
      <c r="B36" s="67" t="n">
        <f aca="false">abstract!C11</f>
        <v>243</v>
      </c>
      <c r="C36" s="67" t="n">
        <f aca="false">abstract!E11</f>
        <v>327</v>
      </c>
      <c r="D36" s="81" t="n">
        <f aca="false">B36+ROW()/1000000</f>
        <v>243.000036</v>
      </c>
    </row>
    <row r="37" customFormat="false" ht="15" hidden="false" customHeight="false" outlineLevel="0" collapsed="false">
      <c r="A37" s="83" t="str">
        <f aca="false">abstract!B12</f>
        <v>Virudhachalam</v>
      </c>
      <c r="B37" s="67" t="n">
        <f aca="false">abstract!C12</f>
        <v>1108</v>
      </c>
      <c r="C37" s="67" t="n">
        <f aca="false">abstract!E12</f>
        <v>1188</v>
      </c>
      <c r="D37" s="81" t="n">
        <f aca="false">B37+ROW()/1000000</f>
        <v>1108.000037</v>
      </c>
    </row>
    <row r="38" customFormat="false" ht="15" hidden="false" customHeight="false" outlineLevel="0" collapsed="false">
      <c r="A38" s="83" t="str">
        <f aca="false">abstract!B13</f>
        <v>Titakudi</v>
      </c>
      <c r="B38" s="67" t="n">
        <f aca="false">abstract!C13</f>
        <v>485</v>
      </c>
      <c r="C38" s="67" t="n">
        <f aca="false">abstract!E13</f>
        <v>576</v>
      </c>
      <c r="D38" s="81" t="n">
        <f aca="false">B38+ROW()/1000000</f>
        <v>485.000038</v>
      </c>
    </row>
    <row r="39" customFormat="false" ht="15" hidden="false" customHeight="false" outlineLevel="0" collapsed="false">
      <c r="A39" s="83" t="str">
        <f aca="false">abstract!B14</f>
        <v>Veppur</v>
      </c>
      <c r="B39" s="67" t="n">
        <f aca="false">abstract!C14</f>
        <v>509</v>
      </c>
      <c r="C39" s="67" t="n">
        <f aca="false">abstract!E14</f>
        <v>621</v>
      </c>
      <c r="D39" s="81" t="n">
        <f aca="false">B39+ROW()/1000000</f>
        <v>509.000039</v>
      </c>
    </row>
    <row r="42" customFormat="false" ht="15" hidden="false" customHeight="false" outlineLevel="0" collapsed="false">
      <c r="A42" s="84" t="s">
        <v>659</v>
      </c>
    </row>
    <row r="43" customFormat="false" ht="22.35" hidden="false" customHeight="false" outlineLevel="0" collapsed="false">
      <c r="A43" s="19" t="s">
        <v>660</v>
      </c>
      <c r="B43" s="19" t="s">
        <v>35</v>
      </c>
      <c r="C43" s="19" t="s">
        <v>661</v>
      </c>
      <c r="D43" s="19" t="s">
        <v>662</v>
      </c>
      <c r="F43" s="19" t="s">
        <v>663</v>
      </c>
      <c r="G43" s="19" t="s">
        <v>35</v>
      </c>
      <c r="H43" s="19" t="s">
        <v>661</v>
      </c>
      <c r="I43" s="19" t="s">
        <v>662</v>
      </c>
      <c r="K43" s="19" t="s">
        <v>664</v>
      </c>
      <c r="L43" s="19" t="s">
        <v>35</v>
      </c>
      <c r="M43" s="19" t="s">
        <v>661</v>
      </c>
      <c r="N43" s="19" t="s">
        <v>662</v>
      </c>
      <c r="P43" s="19" t="s">
        <v>665</v>
      </c>
      <c r="Q43" s="19" t="s">
        <v>35</v>
      </c>
      <c r="R43" s="19" t="s">
        <v>661</v>
      </c>
      <c r="S43" s="19" t="s">
        <v>662</v>
      </c>
      <c r="U43" s="19" t="s">
        <v>666</v>
      </c>
      <c r="V43" s="19" t="s">
        <v>667</v>
      </c>
      <c r="W43" s="19" t="s">
        <v>668</v>
      </c>
      <c r="X43" s="19" t="s">
        <v>669</v>
      </c>
    </row>
    <row r="44" customFormat="false" ht="23.85" hidden="false" customHeight="false" outlineLevel="0" collapsed="false">
      <c r="A44" s="83" t="str">
        <f aca="false">IF('NISD RURAL TOP 5 REJECTION VILL'!B3&lt;&gt;"",'NISD RURAL TOP 5 REJECTION VILL'!B3,"")</f>
        <v>BHUVANAGIRI</v>
      </c>
      <c r="B44" s="83" t="str">
        <f aca="false">IF('NISD RURAL TOP 5 REJECTION VILL'!C3="","",'NISD RURAL TOP 5 REJECTION VILL'!C3)</f>
        <v>PINNALUR</v>
      </c>
      <c r="C44" s="75" t="n">
        <f aca="false">IF(ISNUMBER('NISD RURAL TOP 5 REJECTION VILL'!D3),'NISD RURAL TOP 5 REJECTION VILL'!D3,"")</f>
        <v>7</v>
      </c>
      <c r="D44" s="85" t="n">
        <f aca="false">IF(ISNUMBER(C44),C44+(1000-0)/100000,-1)</f>
        <v>7.01</v>
      </c>
      <c r="F44" s="83" t="str">
        <f aca="false">IF('NISD NATHAM TOP 5 REJECTION VIL'!B3&lt;&gt;"",'NISD NATHAM TOP 5 REJECTION VIL'!B3,"")</f>
        <v>BHUVANAGIRI</v>
      </c>
      <c r="G44" s="83" t="str">
        <f aca="false">IF('NISD NATHAM TOP 5 REJECTION VIL'!C3="","",'NISD NATHAM TOP 5 REJECTION VIL'!C3)</f>
        <v>Parangipettai</v>
      </c>
      <c r="H44" s="75" t="n">
        <f aca="false">IF(ISNUMBER('NISD NATHAM TOP 5 REJECTION VIL'!D3),'NISD NATHAM TOP 5 REJECTION VIL'!D3,"")</f>
        <v>12</v>
      </c>
      <c r="I44" s="85" t="n">
        <f aca="false">IF(ISNUMBER(H44),H44+(1000-0)/100000,-1)</f>
        <v>12.01</v>
      </c>
      <c r="K44" s="83" t="str">
        <f aca="false">IF('ISD RURAL TOP 5VILLAGES'!B3&lt;&gt;"",'ISD RURAL TOP 5VILLAGES'!B3,"")</f>
        <v>BHUVANAGIRI</v>
      </c>
      <c r="L44" s="83" t="str">
        <f aca="false">IF('ISD RURAL TOP 5VILLAGES'!C3="","",'ISD RURAL TOP 5VILLAGES'!C3)</f>
        <v>ARIYAKOSHTI</v>
      </c>
      <c r="M44" s="75" t="n">
        <f aca="false">IF(ISNUMBER('ISD RURAL TOP 5VILLAGES'!D3),'ISD RURAL TOP 5VILLAGES'!D3,"")</f>
        <v>9</v>
      </c>
      <c r="N44" s="85" t="n">
        <f aca="false">IF(ISNUMBER(M44),M44+(1000-0)/100000,-1)</f>
        <v>9.01</v>
      </c>
      <c r="P44" s="83" t="str">
        <f aca="false">IF('ISD NATHAM TOP 5 VILLAGES'!B3&lt;&gt;"",'ISD NATHAM TOP 5 VILLAGES'!B3,"")</f>
        <v>BHUVANAGIRI</v>
      </c>
      <c r="Q44" s="83" t="str">
        <f aca="false">IF('ISD NATHAM TOP 5 VILLAGES'!C3="","",'ISD NATHAM TOP 5 VILLAGES'!C3)</f>
        <v>PARANGIPETTAI</v>
      </c>
      <c r="R44" s="75" t="n">
        <f aca="false">IF(ISNUMBER('ISD NATHAM TOP 5 VILLAGES'!D3),'ISD NATHAM TOP 5 VILLAGES'!D3,"")</f>
        <v>6</v>
      </c>
      <c r="S44" s="85" t="n">
        <f aca="false">IF(ISNUMBER(R44),R44+(1000-0)/100000,-1)</f>
        <v>6.01</v>
      </c>
      <c r="U44" s="69" t="str">
        <f aca="false">CHOOSE(Dashboard!$T$24,A44,F44,K44,P44)</f>
        <v>BHUVANAGIRI</v>
      </c>
      <c r="V44" s="69" t="str">
        <f aca="false">CHOOSE(Dashboard!$T$24,B44,G44,L44,Q44)</f>
        <v>PINNALUR</v>
      </c>
      <c r="W44" s="23" t="n">
        <f aca="false">CHOOSE(Dashboard!$T$24,C44,H44,M44,R44)</f>
        <v>7</v>
      </c>
      <c r="X44" s="85" t="n">
        <f aca="false">CHOOSE(Dashboard!$T$24,D44,I44,N44,S44)</f>
        <v>7.01</v>
      </c>
    </row>
    <row r="45" customFormat="false" ht="15" hidden="false" customHeight="false" outlineLevel="0" collapsed="false">
      <c r="A45" s="83" t="str">
        <f aca="false">IF('NISD RURAL TOP 5 REJECTION VILL'!B4&lt;&gt;"",'NISD RURAL TOP 5 REJECTION VILL'!B4,A44)</f>
        <v>BHUVANAGIRI</v>
      </c>
      <c r="B45" s="83" t="str">
        <f aca="false">IF('NISD RURAL TOP 5 REJECTION VILL'!C4="","",'NISD RURAL TOP 5 REJECTION VILL'!C4)</f>
        <v>ARIYAKOSTI</v>
      </c>
      <c r="C45" s="75" t="n">
        <f aca="false">IF(ISNUMBER('NISD RURAL TOP 5 REJECTION VILL'!D4),'NISD RURAL TOP 5 REJECTION VILL'!D4,"")</f>
        <v>6</v>
      </c>
      <c r="D45" s="85" t="n">
        <f aca="false">IF(ISNUMBER(C45),C45+(1000-1)/100000,-1)</f>
        <v>6.00999</v>
      </c>
      <c r="F45" s="83" t="str">
        <f aca="false">IF('NISD NATHAM TOP 5 REJECTION VIL'!B4&lt;&gt;"",'NISD NATHAM TOP 5 REJECTION VIL'!B4,F44)</f>
        <v>BHUVANAGIRI</v>
      </c>
      <c r="G45" s="83" t="str">
        <f aca="false">IF('NISD NATHAM TOP 5 REJECTION VIL'!C4="","",'NISD NATHAM TOP 5 REJECTION VIL'!C4)</f>
        <v>Periyapattu</v>
      </c>
      <c r="H45" s="75" t="n">
        <f aca="false">IF(ISNUMBER('NISD NATHAM TOP 5 REJECTION VIL'!D4),'NISD NATHAM TOP 5 REJECTION VIL'!D4,"")</f>
        <v>9</v>
      </c>
      <c r="I45" s="85" t="n">
        <f aca="false">IF(ISNUMBER(H45),H45+(1000-1)/100000,-1)</f>
        <v>9.00999</v>
      </c>
      <c r="K45" s="83" t="str">
        <f aca="false">IF('ISD RURAL TOP 5VILLAGES'!B4&lt;&gt;"",'ISD RURAL TOP 5VILLAGES'!B4,K44)</f>
        <v>BHUVANAGIRI</v>
      </c>
      <c r="L45" s="83" t="str">
        <f aca="false">IF('ISD RURAL TOP 5VILLAGES'!C4="","",'ISD RURAL TOP 5VILLAGES'!C4)</f>
        <v>PINNALUR</v>
      </c>
      <c r="M45" s="75" t="n">
        <f aca="false">IF(ISNUMBER('ISD RURAL TOP 5VILLAGES'!D4),'ISD RURAL TOP 5VILLAGES'!D4,"")</f>
        <v>4</v>
      </c>
      <c r="N45" s="85" t="n">
        <f aca="false">IF(ISNUMBER(M45),M45+(1000-1)/100000,-1)</f>
        <v>4.00999</v>
      </c>
      <c r="P45" s="83" t="str">
        <f aca="false">IF('ISD NATHAM TOP 5 VILLAGES'!B4&lt;&gt;"",'ISD NATHAM TOP 5 VILLAGES'!B4,P44)</f>
        <v>BHUVANAGIRI</v>
      </c>
      <c r="Q45" s="83" t="str">
        <f aca="false">IF('ISD NATHAM TOP 5 VILLAGES'!C4="","",'ISD NATHAM TOP 5 VILLAGES'!C4)</f>
        <v>MANJAKOLLAI</v>
      </c>
      <c r="R45" s="75" t="n">
        <f aca="false">IF(ISNUMBER('ISD NATHAM TOP 5 VILLAGES'!D4),'ISD NATHAM TOP 5 VILLAGES'!D4,"")</f>
        <v>4</v>
      </c>
      <c r="S45" s="85" t="n">
        <f aca="false">IF(ISNUMBER(R45),R45+(1000-1)/100000,-1)</f>
        <v>4.00999</v>
      </c>
      <c r="U45" s="69" t="str">
        <f aca="false">CHOOSE(Dashboard!$T$24,A45,F45,K45,P45)</f>
        <v>BHUVANAGIRI</v>
      </c>
      <c r="V45" s="69" t="str">
        <f aca="false">CHOOSE(Dashboard!$T$24,B45,G45,L45,Q45)</f>
        <v>ARIYAKOSTI</v>
      </c>
      <c r="W45" s="23" t="n">
        <f aca="false">CHOOSE(Dashboard!$T$24,C45,H45,M45,R45)</f>
        <v>6</v>
      </c>
      <c r="X45" s="85" t="n">
        <f aca="false">CHOOSE(Dashboard!$T$24,D45,I45,N45,S45)</f>
        <v>6.00999</v>
      </c>
    </row>
    <row r="46" customFormat="false" ht="23.85" hidden="false" customHeight="false" outlineLevel="0" collapsed="false">
      <c r="A46" s="83" t="str">
        <f aca="false">IF('NISD RURAL TOP 5 REJECTION VILL'!B5&lt;&gt;"",'NISD RURAL TOP 5 REJECTION VILL'!B5,A45)</f>
        <v>BHUVANAGIRI</v>
      </c>
      <c r="B46" s="83" t="str">
        <f aca="false">IF('NISD RURAL TOP 5 REJECTION VILL'!C5="","",'NISD RURAL TOP 5 REJECTION VILL'!C5)</f>
        <v>MANJAKUZHI</v>
      </c>
      <c r="C46" s="75" t="n">
        <f aca="false">IF(ISNUMBER('NISD RURAL TOP 5 REJECTION VILL'!D5),'NISD RURAL TOP 5 REJECTION VILL'!D5,"")</f>
        <v>6</v>
      </c>
      <c r="D46" s="85" t="n">
        <f aca="false">IF(ISNUMBER(C46),C46+(1000-2)/100000,-1)</f>
        <v>6.00998</v>
      </c>
      <c r="F46" s="83" t="str">
        <f aca="false">IF('NISD NATHAM TOP 5 REJECTION VIL'!B5&lt;&gt;"",'NISD NATHAM TOP 5 REJECTION VIL'!B5,F45)</f>
        <v>BHUVANAGIRI</v>
      </c>
      <c r="G46" s="83" t="str">
        <f aca="false">IF('NISD NATHAM TOP 5 REJECTION VIL'!C5="","",'NISD NATHAM TOP 5 REJECTION VIL'!C5)</f>
        <v>Manjakuzhi</v>
      </c>
      <c r="H46" s="75" t="n">
        <f aca="false">IF(ISNUMBER('NISD NATHAM TOP 5 REJECTION VIL'!D5),'NISD NATHAM TOP 5 REJECTION VIL'!D5,"")</f>
        <v>9</v>
      </c>
      <c r="I46" s="85" t="n">
        <f aca="false">IF(ISNUMBER(H46),H46+(1000-2)/100000,-1)</f>
        <v>9.00998</v>
      </c>
      <c r="K46" s="83" t="str">
        <f aca="false">IF('ISD RURAL TOP 5VILLAGES'!B5&lt;&gt;"",'ISD RURAL TOP 5VILLAGES'!B5,K45)</f>
        <v>BHUVANAGIRI</v>
      </c>
      <c r="L46" s="83" t="str">
        <f aca="false">IF('ISD RURAL TOP 5VILLAGES'!C5="","",'ISD RURAL TOP 5VILLAGES'!C5)</f>
        <v>SATHAPPADI</v>
      </c>
      <c r="M46" s="75" t="n">
        <f aca="false">IF(ISNUMBER('ISD RURAL TOP 5VILLAGES'!D5),'ISD RURAL TOP 5VILLAGES'!D5,"")</f>
        <v>3</v>
      </c>
      <c r="N46" s="85" t="n">
        <f aca="false">IF(ISNUMBER(M46),M46+(1000-2)/100000,-1)</f>
        <v>3.00998</v>
      </c>
      <c r="P46" s="83" t="str">
        <f aca="false">IF('ISD NATHAM TOP 5 VILLAGES'!B5&lt;&gt;"",'ISD NATHAM TOP 5 VILLAGES'!B5,P45)</f>
        <v>BHUVANAGIRI</v>
      </c>
      <c r="Q46" s="83" t="str">
        <f aca="false">IF('ISD NATHAM TOP 5 VILLAGES'!C5="","",'ISD NATHAM TOP 5 VILLAGES'!C5)</f>
        <v>SILAMBIMANGALM</v>
      </c>
      <c r="R46" s="75" t="n">
        <f aca="false">IF(ISNUMBER('ISD NATHAM TOP 5 VILLAGES'!D5),'ISD NATHAM TOP 5 VILLAGES'!D5,"")</f>
        <v>3</v>
      </c>
      <c r="S46" s="85" t="n">
        <f aca="false">IF(ISNUMBER(R46),R46+(1000-2)/100000,-1)</f>
        <v>3.00998</v>
      </c>
      <c r="U46" s="69" t="str">
        <f aca="false">CHOOSE(Dashboard!$T$24,A46,F46,K46,P46)</f>
        <v>BHUVANAGIRI</v>
      </c>
      <c r="V46" s="69" t="str">
        <f aca="false">CHOOSE(Dashboard!$T$24,B46,G46,L46,Q46)</f>
        <v>MANJAKUZHI</v>
      </c>
      <c r="W46" s="23" t="n">
        <f aca="false">CHOOSE(Dashboard!$T$24,C46,H46,M46,R46)</f>
        <v>6</v>
      </c>
      <c r="X46" s="85" t="n">
        <f aca="false">CHOOSE(Dashboard!$T$24,D46,I46,N46,S46)</f>
        <v>6.00998</v>
      </c>
    </row>
    <row r="47" customFormat="false" ht="23.85" hidden="false" customHeight="false" outlineLevel="0" collapsed="false">
      <c r="A47" s="83" t="str">
        <f aca="false">IF('NISD RURAL TOP 5 REJECTION VILL'!B6&lt;&gt;"",'NISD RURAL TOP 5 REJECTION VILL'!B6,A46)</f>
        <v>BHUVANAGIRI</v>
      </c>
      <c r="B47" s="83" t="str">
        <f aca="false">IF('NISD RURAL TOP 5 REJECTION VILL'!C6="","",'NISD RURAL TOP 5 REJECTION VILL'!C6)</f>
        <v>AGARAM</v>
      </c>
      <c r="C47" s="75" t="n">
        <f aca="false">IF(ISNUMBER('NISD RURAL TOP 5 REJECTION VILL'!D6),'NISD RURAL TOP 5 REJECTION VILL'!D6,"")</f>
        <v>4</v>
      </c>
      <c r="D47" s="85" t="n">
        <f aca="false">IF(ISNUMBER(C47),C47+(1000-3)/100000,-1)</f>
        <v>4.00997</v>
      </c>
      <c r="F47" s="83" t="str">
        <f aca="false">IF('NISD NATHAM TOP 5 REJECTION VIL'!B6&lt;&gt;"",'NISD NATHAM TOP 5 REJECTION VIL'!B6,F46)</f>
        <v>BHUVANAGIRI</v>
      </c>
      <c r="G47" s="83" t="str">
        <f aca="false">IF('NISD NATHAM TOP 5 REJECTION VIL'!C6="","",'NISD NATHAM TOP 5 REJECTION VIL'!C6)</f>
        <v>Poovalai West</v>
      </c>
      <c r="H47" s="75" t="n">
        <f aca="false">IF(ISNUMBER('NISD NATHAM TOP 5 REJECTION VIL'!D6),'NISD NATHAM TOP 5 REJECTION VIL'!D6,"")</f>
        <v>4</v>
      </c>
      <c r="I47" s="85" t="n">
        <f aca="false">IF(ISNUMBER(H47),H47+(1000-3)/100000,-1)</f>
        <v>4.00997</v>
      </c>
      <c r="K47" s="83" t="str">
        <f aca="false">IF('ISD RURAL TOP 5VILLAGES'!B6&lt;&gt;"",'ISD RURAL TOP 5VILLAGES'!B6,K46)</f>
        <v>BHUVANAGIRI</v>
      </c>
      <c r="L47" s="83" t="str">
        <f aca="false">IF('ISD RURAL TOP 5VILLAGES'!C6="","",'ISD RURAL TOP 5VILLAGES'!C6)</f>
        <v>SETHIYATHOPE</v>
      </c>
      <c r="M47" s="75" t="n">
        <f aca="false">IF(ISNUMBER('ISD RURAL TOP 5VILLAGES'!D6),'ISD RURAL TOP 5VILLAGES'!D6,"")</f>
        <v>3</v>
      </c>
      <c r="N47" s="85" t="n">
        <f aca="false">IF(ISNUMBER(M47),M47+(1000-3)/100000,-1)</f>
        <v>3.00997</v>
      </c>
      <c r="P47" s="83" t="str">
        <f aca="false">IF('ISD NATHAM TOP 5 VILLAGES'!B6&lt;&gt;"",'ISD NATHAM TOP 5 VILLAGES'!B6,P46)</f>
        <v>BHUVANAGIRI</v>
      </c>
      <c r="Q47" s="83" t="str">
        <f aca="false">IF('ISD NATHAM TOP 5 VILLAGES'!C6="","",'ISD NATHAM TOP 5 VILLAGES'!C6)</f>
        <v>MELBHUVANAGIRI</v>
      </c>
      <c r="R47" s="75" t="n">
        <f aca="false">IF(ISNUMBER('ISD NATHAM TOP 5 VILLAGES'!D6),'ISD NATHAM TOP 5 VILLAGES'!D6,"")</f>
        <v>3</v>
      </c>
      <c r="S47" s="85" t="n">
        <f aca="false">IF(ISNUMBER(R47),R47+(1000-3)/100000,-1)</f>
        <v>3.00997</v>
      </c>
      <c r="U47" s="69" t="str">
        <f aca="false">CHOOSE(Dashboard!$T$24,A47,F47,K47,P47)</f>
        <v>BHUVANAGIRI</v>
      </c>
      <c r="V47" s="69" t="str">
        <f aca="false">CHOOSE(Dashboard!$T$24,B47,G47,L47,Q47)</f>
        <v>AGARAM</v>
      </c>
      <c r="W47" s="23" t="n">
        <f aca="false">CHOOSE(Dashboard!$T$24,C47,H47,M47,R47)</f>
        <v>4</v>
      </c>
      <c r="X47" s="85" t="n">
        <f aca="false">CHOOSE(Dashboard!$T$24,D47,I47,N47,S47)</f>
        <v>4.00997</v>
      </c>
    </row>
    <row r="48" customFormat="false" ht="23.85" hidden="false" customHeight="false" outlineLevel="0" collapsed="false">
      <c r="A48" s="83" t="str">
        <f aca="false">IF('NISD RURAL TOP 5 REJECTION VILL'!B7&lt;&gt;"",'NISD RURAL TOP 5 REJECTION VILL'!B7,A47)</f>
        <v>BHUVANAGIRI</v>
      </c>
      <c r="B48" s="83" t="str">
        <f aca="false">IF('NISD RURAL TOP 5 REJECTION VILL'!C7="","",'NISD RURAL TOP 5 REJECTION VILL'!C7)</f>
        <v>MIRALUR</v>
      </c>
      <c r="C48" s="75" t="n">
        <f aca="false">IF(ISNUMBER('NISD RURAL TOP 5 REJECTION VILL'!D7),'NISD RURAL TOP 5 REJECTION VILL'!D7,"")</f>
        <v>4</v>
      </c>
      <c r="D48" s="85" t="n">
        <f aca="false">IF(ISNUMBER(C48),C48+(1000-4)/100000,-1)</f>
        <v>4.00996</v>
      </c>
      <c r="F48" s="83" t="str">
        <f aca="false">IF('NISD NATHAM TOP 5 REJECTION VIL'!B7&lt;&gt;"",'NISD NATHAM TOP 5 REJECTION VIL'!B7,F47)</f>
        <v>BHUVANAGIRI</v>
      </c>
      <c r="G48" s="83" t="str">
        <f aca="false">IF('NISD NATHAM TOP 5 REJECTION VIL'!C7="","",'NISD NATHAM TOP 5 REJECTION VIL'!C7)</f>
        <v>Ariyakoshti</v>
      </c>
      <c r="H48" s="75" t="n">
        <f aca="false">IF(ISNUMBER('NISD NATHAM TOP 5 REJECTION VIL'!D7),'NISD NATHAM TOP 5 REJECTION VIL'!D7,"")</f>
        <v>3</v>
      </c>
      <c r="I48" s="85" t="n">
        <f aca="false">IF(ISNUMBER(H48),H48+(1000-4)/100000,-1)</f>
        <v>3.00996</v>
      </c>
      <c r="K48" s="83" t="str">
        <f aca="false">IF('ISD RURAL TOP 5VILLAGES'!B7&lt;&gt;"",'ISD RURAL TOP 5VILLAGES'!B7,K47)</f>
        <v>BHUVANAGIRI</v>
      </c>
      <c r="L48" s="83" t="str">
        <f aca="false">IF('ISD RURAL TOP 5VILLAGES'!C7="","",'ISD RURAL TOP 5VILLAGES'!C7)</f>
        <v>VADAKRISHNAPURAM</v>
      </c>
      <c r="M48" s="75" t="n">
        <f aca="false">IF(ISNUMBER('ISD RURAL TOP 5VILLAGES'!D7),'ISD RURAL TOP 5VILLAGES'!D7,"")</f>
        <v>3</v>
      </c>
      <c r="N48" s="85" t="n">
        <f aca="false">IF(ISNUMBER(M48),M48+(1000-4)/100000,-1)</f>
        <v>3.00996</v>
      </c>
      <c r="P48" s="83" t="str">
        <f aca="false">IF('ISD NATHAM TOP 5 VILLAGES'!B7&lt;&gt;"",'ISD NATHAM TOP 5 VILLAGES'!B7,P47)</f>
        <v>BHUVANAGIRI</v>
      </c>
      <c r="Q48" s="83" t="str">
        <f aca="false">IF('ISD NATHAM TOP 5 VILLAGES'!C7="","",'ISD NATHAM TOP 5 VILLAGES'!C7)</f>
        <v>C.MUTLUR</v>
      </c>
      <c r="R48" s="75" t="n">
        <f aca="false">IF(ISNUMBER('ISD NATHAM TOP 5 VILLAGES'!D7),'ISD NATHAM TOP 5 VILLAGES'!D7,"")</f>
        <v>2</v>
      </c>
      <c r="S48" s="85" t="n">
        <f aca="false">IF(ISNUMBER(R48),R48+(1000-4)/100000,-1)</f>
        <v>2.00996</v>
      </c>
      <c r="U48" s="69" t="str">
        <f aca="false">CHOOSE(Dashboard!$T$24,A48,F48,K48,P48)</f>
        <v>BHUVANAGIRI</v>
      </c>
      <c r="V48" s="69" t="str">
        <f aca="false">CHOOSE(Dashboard!$T$24,B48,G48,L48,Q48)</f>
        <v>MIRALUR</v>
      </c>
      <c r="W48" s="23" t="n">
        <f aca="false">CHOOSE(Dashboard!$T$24,C48,H48,M48,R48)</f>
        <v>4</v>
      </c>
      <c r="X48" s="85" t="n">
        <f aca="false">CHOOSE(Dashboard!$T$24,D48,I48,N48,S48)</f>
        <v>4.00996</v>
      </c>
    </row>
    <row r="49" customFormat="false" ht="23.85" hidden="false" customHeight="false" outlineLevel="0" collapsed="false">
      <c r="A49" s="83" t="str">
        <f aca="false">IF('NISD RURAL TOP 5 REJECTION VILL'!B8&lt;&gt;"",'NISD RURAL TOP 5 REJECTION VILL'!B8,A48)</f>
        <v>CHIDAMBARAM</v>
      </c>
      <c r="B49" s="83" t="str">
        <f aca="false">IF('NISD RURAL TOP 5 REJECTION VILL'!C8="","",'NISD RURAL TOP 5 REJECTION VILL'!C8)</f>
        <v>KEEZHANUVAMPATTU</v>
      </c>
      <c r="C49" s="75" t="n">
        <f aca="false">IF(ISNUMBER('NISD RURAL TOP 5 REJECTION VILL'!D8),'NISD RURAL TOP 5 REJECTION VILL'!D8,"")</f>
        <v>4</v>
      </c>
      <c r="D49" s="85" t="n">
        <f aca="false">IF(ISNUMBER(C49),C49+(1000-5)/100000,-1)</f>
        <v>4.00995</v>
      </c>
      <c r="F49" s="83" t="str">
        <f aca="false">IF('NISD NATHAM TOP 5 REJECTION VIL'!B8&lt;&gt;"",'NISD NATHAM TOP 5 REJECTION VIL'!B8,F48)</f>
        <v>CHIDAMBARAM</v>
      </c>
      <c r="G49" s="83" t="str">
        <f aca="false">IF('NISD NATHAM TOP 5 REJECTION VIL'!C8="","",'NISD NATHAM TOP 5 REJECTION VIL'!C8)</f>
        <v>Usupur</v>
      </c>
      <c r="H49" s="75" t="n">
        <f aca="false">IF(ISNUMBER('NISD NATHAM TOP 5 REJECTION VIL'!D8),'NISD NATHAM TOP 5 REJECTION VIL'!D8,"")</f>
        <v>5</v>
      </c>
      <c r="I49" s="85" t="n">
        <f aca="false">IF(ISNUMBER(H49),H49+(1000-5)/100000,-1)</f>
        <v>5.00995</v>
      </c>
      <c r="K49" s="83" t="str">
        <f aca="false">IF('ISD RURAL TOP 5VILLAGES'!B8&lt;&gt;"",'ISD RURAL TOP 5VILLAGES'!B8,K48)</f>
        <v>CHIDAMBARAM</v>
      </c>
      <c r="L49" s="83" t="str">
        <f aca="false">IF('ISD RURAL TOP 5VILLAGES'!C8="","",'ISD RURAL TOP 5VILLAGES'!C8)</f>
        <v>C.KOTHANKUDI</v>
      </c>
      <c r="M49" s="75" t="n">
        <f aca="false">IF(ISNUMBER('ISD RURAL TOP 5VILLAGES'!D8),'ISD RURAL TOP 5VILLAGES'!D8,"")</f>
        <v>6</v>
      </c>
      <c r="N49" s="85" t="n">
        <f aca="false">IF(ISNUMBER(M49),M49+(1000-5)/100000,-1)</f>
        <v>6.00995</v>
      </c>
      <c r="P49" s="83" t="str">
        <f aca="false">IF('ISD NATHAM TOP 5 VILLAGES'!B8&lt;&gt;"",'ISD NATHAM TOP 5 VILLAGES'!B8,P48)</f>
        <v>CHIDAMBARAM</v>
      </c>
      <c r="Q49" s="83" t="str">
        <f aca="false">IF('ISD NATHAM TOP 5 VILLAGES'!C8="","",'ISD NATHAM TOP 5 VILLAGES'!C8)</f>
        <v>NAJAIMAGATHUVAZHKAI</v>
      </c>
      <c r="R49" s="75" t="n">
        <f aca="false">IF(ISNUMBER('ISD NATHAM TOP 5 VILLAGES'!D8),'ISD NATHAM TOP 5 VILLAGES'!D8,"")</f>
        <v>3</v>
      </c>
      <c r="S49" s="85" t="n">
        <f aca="false">IF(ISNUMBER(R49),R49+(1000-5)/100000,-1)</f>
        <v>3.00995</v>
      </c>
      <c r="U49" s="69" t="str">
        <f aca="false">CHOOSE(Dashboard!$T$24,A49,F49,K49,P49)</f>
        <v>CHIDAMBARAM</v>
      </c>
      <c r="V49" s="69" t="str">
        <f aca="false">CHOOSE(Dashboard!$T$24,B49,G49,L49,Q49)</f>
        <v>KEEZHANUVAMPATTU</v>
      </c>
      <c r="W49" s="23" t="n">
        <f aca="false">CHOOSE(Dashboard!$T$24,C49,H49,M49,R49)</f>
        <v>4</v>
      </c>
      <c r="X49" s="85" t="n">
        <f aca="false">CHOOSE(Dashboard!$T$24,D49,I49,N49,S49)</f>
        <v>4.00995</v>
      </c>
    </row>
    <row r="50" customFormat="false" ht="23.85" hidden="false" customHeight="false" outlineLevel="0" collapsed="false">
      <c r="A50" s="83" t="str">
        <f aca="false">IF('NISD RURAL TOP 5 REJECTION VILL'!B9&lt;&gt;"",'NISD RURAL TOP 5 REJECTION VILL'!B9,A49)</f>
        <v>CHIDAMBARAM</v>
      </c>
      <c r="B50" s="83" t="str">
        <f aca="false">IF('NISD RURAL TOP 5 REJECTION VILL'!C9="","",'NISD RURAL TOP 5 REJECTION VILL'!C9)</f>
        <v>B.MADUVANKARI</v>
      </c>
      <c r="C50" s="75" t="n">
        <f aca="false">IF(ISNUMBER('NISD RURAL TOP 5 REJECTION VILL'!D9),'NISD RURAL TOP 5 REJECTION VILL'!D9,"")</f>
        <v>3</v>
      </c>
      <c r="D50" s="85" t="n">
        <f aca="false">IF(ISNUMBER(C50),C50+(1000-6)/100000,-1)</f>
        <v>3.00994</v>
      </c>
      <c r="F50" s="83" t="str">
        <f aca="false">IF('NISD NATHAM TOP 5 REJECTION VIL'!B9&lt;&gt;"",'NISD NATHAM TOP 5 REJECTION VIL'!B9,F49)</f>
        <v>CHIDAMBARAM</v>
      </c>
      <c r="G50" s="83" t="str">
        <f aca="false">IF('NISD NATHAM TOP 5 REJECTION VIL'!C9="","",'NISD NATHAM TOP 5 REJECTION VIL'!C9)</f>
        <v>Mugaiyur</v>
      </c>
      <c r="H50" s="75" t="n">
        <f aca="false">IF(ISNUMBER('NISD NATHAM TOP 5 REJECTION VIL'!D9),'NISD NATHAM TOP 5 REJECTION VIL'!D9,"")</f>
        <v>3</v>
      </c>
      <c r="I50" s="85" t="n">
        <f aca="false">IF(ISNUMBER(H50),H50+(1000-6)/100000,-1)</f>
        <v>3.00994</v>
      </c>
      <c r="K50" s="83" t="str">
        <f aca="false">IF('ISD RURAL TOP 5VILLAGES'!B9&lt;&gt;"",'ISD RURAL TOP 5VILLAGES'!B9,K49)</f>
        <v>CHIDAMBARAM</v>
      </c>
      <c r="L50" s="83" t="str">
        <f aca="false">IF('ISD RURAL TOP 5VILLAGES'!C9="","",'ISD RURAL TOP 5VILLAGES'!C9)</f>
        <v>PARAMESHVARANALLUR</v>
      </c>
      <c r="M50" s="75" t="n">
        <f aca="false">IF(ISNUMBER('ISD RURAL TOP 5VILLAGES'!D9),'ISD RURAL TOP 5VILLAGES'!D9,"")</f>
        <v>6</v>
      </c>
      <c r="N50" s="85" t="n">
        <f aca="false">IF(ISNUMBER(M50),M50+(1000-6)/100000,-1)</f>
        <v>6.00994</v>
      </c>
      <c r="P50" s="83" t="str">
        <f aca="false">IF('ISD NATHAM TOP 5 VILLAGES'!B9&lt;&gt;"",'ISD NATHAM TOP 5 VILLAGES'!B9,P49)</f>
        <v>CHIDAMBARAM</v>
      </c>
      <c r="Q50" s="83" t="str">
        <f aca="false">IF('ISD NATHAM TOP 5 VILLAGES'!C9="","",'ISD NATHAM TOP 5 VILLAGES'!C9)</f>
        <v>C.THANDESWARANALLUR</v>
      </c>
      <c r="R50" s="75" t="n">
        <f aca="false">IF(ISNUMBER('ISD NATHAM TOP 5 VILLAGES'!D9),'ISD NATHAM TOP 5 VILLAGES'!D9,"")</f>
        <v>3</v>
      </c>
      <c r="S50" s="85" t="n">
        <f aca="false">IF(ISNUMBER(R50),R50+(1000-6)/100000,-1)</f>
        <v>3.00994</v>
      </c>
      <c r="U50" s="69" t="str">
        <f aca="false">CHOOSE(Dashboard!$T$24,A50,F50,K50,P50)</f>
        <v>CHIDAMBARAM</v>
      </c>
      <c r="V50" s="69" t="str">
        <f aca="false">CHOOSE(Dashboard!$T$24,B50,G50,L50,Q50)</f>
        <v>B.MADUVANKARI</v>
      </c>
      <c r="W50" s="23" t="n">
        <f aca="false">CHOOSE(Dashboard!$T$24,C50,H50,M50,R50)</f>
        <v>3</v>
      </c>
      <c r="X50" s="85" t="n">
        <f aca="false">CHOOSE(Dashboard!$T$24,D50,I50,N50,S50)</f>
        <v>3.00994</v>
      </c>
    </row>
    <row r="51" customFormat="false" ht="23.85" hidden="false" customHeight="false" outlineLevel="0" collapsed="false">
      <c r="A51" s="83" t="str">
        <f aca="false">IF('NISD RURAL TOP 5 REJECTION VILL'!B10&lt;&gt;"",'NISD RURAL TOP 5 REJECTION VILL'!B10,A50)</f>
        <v>CHIDAMBARAM</v>
      </c>
      <c r="B51" s="83" t="str">
        <f aca="false">IF('NISD RURAL TOP 5 REJECTION VILL'!C10="","",'NISD RURAL TOP 5 REJECTION VILL'!C10)</f>
        <v>MEDHIKUDI</v>
      </c>
      <c r="C51" s="75" t="n">
        <f aca="false">IF(ISNUMBER('NISD RURAL TOP 5 REJECTION VILL'!D10),'NISD RURAL TOP 5 REJECTION VILL'!D10,"")</f>
        <v>3</v>
      </c>
      <c r="D51" s="85" t="n">
        <f aca="false">IF(ISNUMBER(C51),C51+(1000-7)/100000,-1)</f>
        <v>3.00993</v>
      </c>
      <c r="F51" s="83" t="str">
        <f aca="false">IF('NISD NATHAM TOP 5 REJECTION VIL'!B10&lt;&gt;"",'NISD NATHAM TOP 5 REJECTION VIL'!B10,F50)</f>
        <v>CHIDAMBARAM</v>
      </c>
      <c r="G51" s="83" t="str">
        <f aca="false">IF('NISD NATHAM TOP 5 REJECTION VIL'!C10="","",'NISD NATHAM TOP 5 REJECTION VIL'!C10)</f>
        <v>B.Maduvankarai</v>
      </c>
      <c r="H51" s="75" t="n">
        <f aca="false">IF(ISNUMBER('NISD NATHAM TOP 5 REJECTION VIL'!D10),'NISD NATHAM TOP 5 REJECTION VIL'!D10,"")</f>
        <v>2</v>
      </c>
      <c r="I51" s="85" t="n">
        <f aca="false">IF(ISNUMBER(H51),H51+(1000-7)/100000,-1)</f>
        <v>2.00993</v>
      </c>
      <c r="K51" s="83" t="str">
        <f aca="false">IF('ISD RURAL TOP 5VILLAGES'!B10&lt;&gt;"",'ISD RURAL TOP 5VILLAGES'!B10,K50)</f>
        <v>CHIDAMBARAM</v>
      </c>
      <c r="L51" s="83" t="str">
        <f aca="false">IF('ISD RURAL TOP 5VILLAGES'!C10="","",'ISD RURAL TOP 5VILLAGES'!C10)</f>
        <v>LALPURAM</v>
      </c>
      <c r="M51" s="75" t="n">
        <f aca="false">IF(ISNUMBER('ISD RURAL TOP 5VILLAGES'!D10),'ISD RURAL TOP 5VILLAGES'!D10,"")</f>
        <v>5</v>
      </c>
      <c r="N51" s="85" t="n">
        <f aca="false">IF(ISNUMBER(M51),M51+(1000-7)/100000,-1)</f>
        <v>5.00993</v>
      </c>
      <c r="P51" s="83" t="str">
        <f aca="false">IF('ISD NATHAM TOP 5 VILLAGES'!B10&lt;&gt;"",'ISD NATHAM TOP 5 VILLAGES'!B10,P50)</f>
        <v>CHIDAMBARAM</v>
      </c>
      <c r="Q51" s="83" t="str">
        <f aca="false">IF('ISD NATHAM TOP 5 VILLAGES'!C10="","",'ISD NATHAM TOP 5 VILLAGES'!C10)</f>
        <v>VASAPUTHUR</v>
      </c>
      <c r="R51" s="75" t="n">
        <f aca="false">IF(ISNUMBER('ISD NATHAM TOP 5 VILLAGES'!D10),'ISD NATHAM TOP 5 VILLAGES'!D10,"")</f>
        <v>2</v>
      </c>
      <c r="S51" s="85" t="n">
        <f aca="false">IF(ISNUMBER(R51),R51+(1000-7)/100000,-1)</f>
        <v>2.00993</v>
      </c>
      <c r="U51" s="69" t="str">
        <f aca="false">CHOOSE(Dashboard!$T$24,A51,F51,K51,P51)</f>
        <v>CHIDAMBARAM</v>
      </c>
      <c r="V51" s="69" t="str">
        <f aca="false">CHOOSE(Dashboard!$T$24,B51,G51,L51,Q51)</f>
        <v>MEDHIKUDI</v>
      </c>
      <c r="W51" s="23" t="n">
        <f aca="false">CHOOSE(Dashboard!$T$24,C51,H51,M51,R51)</f>
        <v>3</v>
      </c>
      <c r="X51" s="85" t="n">
        <f aca="false">CHOOSE(Dashboard!$T$24,D51,I51,N51,S51)</f>
        <v>3.00993</v>
      </c>
    </row>
    <row r="52" customFormat="false" ht="23.85" hidden="false" customHeight="false" outlineLevel="0" collapsed="false">
      <c r="A52" s="83" t="str">
        <f aca="false">IF('NISD RURAL TOP 5 REJECTION VILL'!B11&lt;&gt;"",'NISD RURAL TOP 5 REJECTION VILL'!B11,A51)</f>
        <v>CHIDAMBARAM</v>
      </c>
      <c r="B52" s="83" t="str">
        <f aca="false">IF('NISD RURAL TOP 5 REJECTION VILL'!C11="","",'NISD RURAL TOP 5 REJECTION VILL'!C11)</f>
        <v>USUPUR</v>
      </c>
      <c r="C52" s="75" t="n">
        <f aca="false">IF(ISNUMBER('NISD RURAL TOP 5 REJECTION VILL'!D11),'NISD RURAL TOP 5 REJECTION VILL'!D11,"")</f>
        <v>2</v>
      </c>
      <c r="D52" s="85" t="n">
        <f aca="false">IF(ISNUMBER(C52),C52+(1000-8)/100000,-1)</f>
        <v>2.00992</v>
      </c>
      <c r="F52" s="83" t="str">
        <f aca="false">IF('NISD NATHAM TOP 5 REJECTION VIL'!B11&lt;&gt;"",'NISD NATHAM TOP 5 REJECTION VIL'!B11,F51)</f>
        <v>CHIDAMBARAM</v>
      </c>
      <c r="G52" s="83" t="str">
        <f aca="false">IF('NISD NATHAM TOP 5 REJECTION VIL'!C11="","",'NISD NATHAM TOP 5 REJECTION VIL'!C11)</f>
        <v>C.Thandeawaranallur</v>
      </c>
      <c r="H52" s="75" t="n">
        <f aca="false">IF(ISNUMBER('NISD NATHAM TOP 5 REJECTION VIL'!D11),'NISD NATHAM TOP 5 REJECTION VIL'!D11,"")</f>
        <v>2</v>
      </c>
      <c r="I52" s="85" t="n">
        <f aca="false">IF(ISNUMBER(H52),H52+(1000-8)/100000,-1)</f>
        <v>2.00992</v>
      </c>
      <c r="K52" s="83" t="str">
        <f aca="false">IF('ISD RURAL TOP 5VILLAGES'!B11&lt;&gt;"",'ISD RURAL TOP 5VILLAGES'!B11,K51)</f>
        <v>CHIDAMBARAM</v>
      </c>
      <c r="L52" s="83" t="str">
        <f aca="false">IF('ISD RURAL TOP 5VILLAGES'!C11="","",'ISD RURAL TOP 5VILLAGES'!C11)</f>
        <v>MTIKUDI</v>
      </c>
      <c r="M52" s="75" t="n">
        <f aca="false">IF(ISNUMBER('ISD RURAL TOP 5VILLAGES'!D11),'ISD RURAL TOP 5VILLAGES'!D11,"")</f>
        <v>5</v>
      </c>
      <c r="N52" s="85" t="n">
        <f aca="false">IF(ISNUMBER(M52),M52+(1000-8)/100000,-1)</f>
        <v>5.00992</v>
      </c>
      <c r="P52" s="83" t="str">
        <f aca="false">IF('ISD NATHAM TOP 5 VILLAGES'!B11&lt;&gt;"",'ISD NATHAM TOP 5 VILLAGES'!B11,P51)</f>
        <v>CHIDAMBARAM</v>
      </c>
      <c r="Q52" s="83" t="str">
        <f aca="false">IF('ISD NATHAM TOP 5 VILLAGES'!C11="","",'ISD NATHAM TOP 5 VILLAGES'!C11)</f>
        <v>VAIYUR</v>
      </c>
      <c r="R52" s="75" t="n">
        <f aca="false">IF(ISNUMBER('ISD NATHAM TOP 5 VILLAGES'!D11),'ISD NATHAM TOP 5 VILLAGES'!D11,"")</f>
        <v>1</v>
      </c>
      <c r="S52" s="85" t="n">
        <f aca="false">IF(ISNUMBER(R52),R52+(1000-8)/100000,-1)</f>
        <v>1.00992</v>
      </c>
      <c r="U52" s="69" t="str">
        <f aca="false">CHOOSE(Dashboard!$T$24,A52,F52,K52,P52)</f>
        <v>CHIDAMBARAM</v>
      </c>
      <c r="V52" s="69" t="str">
        <f aca="false">CHOOSE(Dashboard!$T$24,B52,G52,L52,Q52)</f>
        <v>USUPUR</v>
      </c>
      <c r="W52" s="23" t="n">
        <f aca="false">CHOOSE(Dashboard!$T$24,C52,H52,M52,R52)</f>
        <v>2</v>
      </c>
      <c r="X52" s="85" t="n">
        <f aca="false">CHOOSE(Dashboard!$T$24,D52,I52,N52,S52)</f>
        <v>2.00992</v>
      </c>
    </row>
    <row r="53" customFormat="false" ht="35.05" hidden="false" customHeight="false" outlineLevel="0" collapsed="false">
      <c r="A53" s="83" t="str">
        <f aca="false">IF('NISD RURAL TOP 5 REJECTION VILL'!B12&lt;&gt;"",'NISD RURAL TOP 5 REJECTION VILL'!B12,A52)</f>
        <v>CHIDAMBARAM</v>
      </c>
      <c r="B53" s="83" t="str">
        <f aca="false">IF('NISD RURAL TOP 5 REJECTION VILL'!C12="","",'NISD RURAL TOP 5 REJECTION VILL'!C12)</f>
        <v>UTHAMANCHOZHAMANGALAM</v>
      </c>
      <c r="C53" s="75" t="n">
        <f aca="false">IF(ISNUMBER('NISD RURAL TOP 5 REJECTION VILL'!D12),'NISD RURAL TOP 5 REJECTION VILL'!D12,"")</f>
        <v>2</v>
      </c>
      <c r="D53" s="85" t="n">
        <f aca="false">IF(ISNUMBER(C53),C53+(1000-9)/100000,-1)</f>
        <v>2.00991</v>
      </c>
      <c r="F53" s="83" t="str">
        <f aca="false">IF('NISD NATHAM TOP 5 REJECTION VIL'!B12&lt;&gt;"",'NISD NATHAM TOP 5 REJECTION VIL'!B12,F52)</f>
        <v>CHIDAMBARAM</v>
      </c>
      <c r="G53" s="83" t="str">
        <f aca="false">IF('NISD NATHAM TOP 5 REJECTION VIL'!C12="","",'NISD NATHAM TOP 5 REJECTION VIL'!C12)</f>
        <v>Keezhnatham</v>
      </c>
      <c r="H53" s="75" t="n">
        <f aca="false">IF(ISNUMBER('NISD NATHAM TOP 5 REJECTION VIL'!D12),'NISD NATHAM TOP 5 REJECTION VIL'!D12,"")</f>
        <v>2</v>
      </c>
      <c r="I53" s="85" t="n">
        <f aca="false">IF(ISNUMBER(H53),H53+(1000-9)/100000,-1)</f>
        <v>2.00991</v>
      </c>
      <c r="K53" s="83" t="str">
        <f aca="false">IF('ISD RURAL TOP 5VILLAGES'!B12&lt;&gt;"",'ISD RURAL TOP 5VILLAGES'!B12,K52)</f>
        <v>CHIDAMBARAM</v>
      </c>
      <c r="L53" s="83" t="str">
        <f aca="false">IF('ISD RURAL TOP 5VILLAGES'!C12="","",'ISD RURAL TOP 5VILLAGES'!C12)</f>
        <v>USUPPUR</v>
      </c>
      <c r="M53" s="75" t="n">
        <f aca="false">IF(ISNUMBER('ISD RURAL TOP 5VILLAGES'!D12),'ISD RURAL TOP 5VILLAGES'!D12,"")</f>
        <v>5</v>
      </c>
      <c r="N53" s="85" t="n">
        <f aca="false">IF(ISNUMBER(M53),M53+(1000-9)/100000,-1)</f>
        <v>5.00991</v>
      </c>
      <c r="P53" s="83" t="str">
        <f aca="false">IF('ISD NATHAM TOP 5 VILLAGES'!B12&lt;&gt;"",'ISD NATHAM TOP 5 VILLAGES'!B12,P52)</f>
        <v>CHIDAMBARAM</v>
      </c>
      <c r="Q53" s="83" t="str">
        <f aca="false">IF('ISD NATHAM TOP 5 VILLAGES'!C12="","",'ISD NATHAM TOP 5 VILLAGES'!C12)</f>
        <v>KANNAKUDI</v>
      </c>
      <c r="R53" s="75" t="n">
        <f aca="false">IF(ISNUMBER('ISD NATHAM TOP 5 VILLAGES'!D12),'ISD NATHAM TOP 5 VILLAGES'!D12,"")</f>
        <v>1</v>
      </c>
      <c r="S53" s="85" t="n">
        <f aca="false">IF(ISNUMBER(R53),R53+(1000-9)/100000,-1)</f>
        <v>1.00991</v>
      </c>
      <c r="U53" s="69" t="str">
        <f aca="false">CHOOSE(Dashboard!$T$24,A53,F53,K53,P53)</f>
        <v>CHIDAMBARAM</v>
      </c>
      <c r="V53" s="69" t="str">
        <f aca="false">CHOOSE(Dashboard!$T$24,B53,G53,L53,Q53)</f>
        <v>UTHAMANCHOZHAMANGALAM</v>
      </c>
      <c r="W53" s="23" t="n">
        <f aca="false">CHOOSE(Dashboard!$T$24,C53,H53,M53,R53)</f>
        <v>2</v>
      </c>
      <c r="X53" s="85" t="n">
        <f aca="false">CHOOSE(Dashboard!$T$24,D53,I53,N53,S53)</f>
        <v>2.00991</v>
      </c>
    </row>
    <row r="54" customFormat="false" ht="23.85" hidden="false" customHeight="false" outlineLevel="0" collapsed="false">
      <c r="A54" s="83" t="str">
        <f aca="false">IF('NISD RURAL TOP 5 REJECTION VILL'!B13&lt;&gt;"",'NISD RURAL TOP 5 REJECTION VILL'!B13,A53)</f>
        <v>CUDDALORE</v>
      </c>
      <c r="B54" s="83" t="str">
        <f aca="false">IF('NISD RURAL TOP 5 REJECTION VILL'!C13="","",'NISD RURAL TOP 5 REJECTION VILL'!C13)</f>
        <v>KOTHANDARAMPURAM</v>
      </c>
      <c r="C54" s="75" t="n">
        <f aca="false">IF(ISNUMBER('NISD RURAL TOP 5 REJECTION VILL'!D13),'NISD RURAL TOP 5 REJECTION VILL'!D13,"")</f>
        <v>6</v>
      </c>
      <c r="D54" s="85" t="n">
        <f aca="false">IF(ISNUMBER(C54),C54+(1000-10)/100000,-1)</f>
        <v>6.0099</v>
      </c>
      <c r="F54" s="83" t="str">
        <f aca="false">IF('NISD NATHAM TOP 5 REJECTION VIL'!B13&lt;&gt;"",'NISD NATHAM TOP 5 REJECTION VIL'!B13,F53)</f>
        <v>CUDDALORE</v>
      </c>
      <c r="G54" s="83" t="str">
        <f aca="false">IF('NISD NATHAM TOP 5 REJECTION VIL'!C13="","",'NISD NATHAM TOP 5 REJECTION VIL'!C13)</f>
        <v>Karamanikuppam</v>
      </c>
      <c r="H54" s="75" t="n">
        <f aca="false">IF(ISNUMBER('NISD NATHAM TOP 5 REJECTION VIL'!D13),'NISD NATHAM TOP 5 REJECTION VIL'!D13,"")</f>
        <v>4</v>
      </c>
      <c r="I54" s="85" t="n">
        <f aca="false">IF(ISNUMBER(H54),H54+(1000-10)/100000,-1)</f>
        <v>4.0099</v>
      </c>
      <c r="K54" s="83" t="str">
        <f aca="false">IF('ISD RURAL TOP 5VILLAGES'!B13&lt;&gt;"",'ISD RURAL TOP 5VILLAGES'!B13,K53)</f>
        <v>CUDDALORE</v>
      </c>
      <c r="L54" s="83" t="str">
        <f aca="false">IF('ISD RURAL TOP 5VILLAGES'!C13="","",'ISD RURAL TOP 5VILLAGES'!C13)</f>
        <v>VELLAKARAI</v>
      </c>
      <c r="M54" s="75" t="n">
        <f aca="false">IF(ISNUMBER('ISD RURAL TOP 5VILLAGES'!D13),'ISD RURAL TOP 5VILLAGES'!D13,"")</f>
        <v>10</v>
      </c>
      <c r="N54" s="85" t="n">
        <f aca="false">IF(ISNUMBER(M54),M54+(1000-10)/100000,-1)</f>
        <v>10.0099</v>
      </c>
      <c r="P54" s="83" t="str">
        <f aca="false">IF('ISD NATHAM TOP 5 VILLAGES'!B13&lt;&gt;"",'ISD NATHAM TOP 5 VILLAGES'!B13,P53)</f>
        <v>CUDDALORE</v>
      </c>
      <c r="Q54" s="83" t="str">
        <f aca="false">IF('ISD NATHAM TOP 5 VILLAGES'!C13="","",'ISD NATHAM TOP 5 VILLAGES'!C13)</f>
        <v>NADUVEERAPATTU</v>
      </c>
      <c r="R54" s="75" t="n">
        <f aca="false">IF(ISNUMBER('ISD NATHAM TOP 5 VILLAGES'!D13),'ISD NATHAM TOP 5 VILLAGES'!D13,"")</f>
        <v>5</v>
      </c>
      <c r="S54" s="85" t="n">
        <f aca="false">IF(ISNUMBER(R54),R54+(1000-10)/100000,-1)</f>
        <v>5.0099</v>
      </c>
      <c r="U54" s="69" t="str">
        <f aca="false">CHOOSE(Dashboard!$T$24,A54,F54,K54,P54)</f>
        <v>CUDDALORE</v>
      </c>
      <c r="V54" s="69" t="str">
        <f aca="false">CHOOSE(Dashboard!$T$24,B54,G54,L54,Q54)</f>
        <v>KOTHANDARAMPURAM</v>
      </c>
      <c r="W54" s="23" t="n">
        <f aca="false">CHOOSE(Dashboard!$T$24,C54,H54,M54,R54)</f>
        <v>6</v>
      </c>
      <c r="X54" s="85" t="n">
        <f aca="false">CHOOSE(Dashboard!$T$24,D54,I54,N54,S54)</f>
        <v>6.0099</v>
      </c>
    </row>
    <row r="55" customFormat="false" ht="15" hidden="false" customHeight="false" outlineLevel="0" collapsed="false">
      <c r="A55" s="83" t="str">
        <f aca="false">IF('NISD RURAL TOP 5 REJECTION VILL'!B14&lt;&gt;"",'NISD RURAL TOP 5 REJECTION VILL'!B14,A54)</f>
        <v>CUDDALORE</v>
      </c>
      <c r="B55" s="83" t="str">
        <f aca="false">IF('NISD RURAL TOP 5 REJECTION VILL'!C14="","",'NISD RURAL TOP 5 REJECTION VILL'!C14)</f>
        <v>VELLAKARAI</v>
      </c>
      <c r="C55" s="75" t="n">
        <f aca="false">IF(ISNUMBER('NISD RURAL TOP 5 REJECTION VILL'!D14),'NISD RURAL TOP 5 REJECTION VILL'!D14,"")</f>
        <v>6</v>
      </c>
      <c r="D55" s="85" t="n">
        <f aca="false">IF(ISNUMBER(C55),C55+(1000-11)/100000,-1)</f>
        <v>6.00989</v>
      </c>
      <c r="F55" s="83" t="str">
        <f aca="false">IF('NISD NATHAM TOP 5 REJECTION VIL'!B14&lt;&gt;"",'NISD NATHAM TOP 5 REJECTION VIL'!B14,F54)</f>
        <v>CUDDALORE</v>
      </c>
      <c r="G55" s="83" t="str">
        <f aca="false">IF('NISD NATHAM TOP 5 REJECTION VIL'!C14="","",'NISD NATHAM TOP 5 REJECTION VIL'!C14)</f>
        <v>Ramapuram</v>
      </c>
      <c r="H55" s="75" t="n">
        <f aca="false">IF(ISNUMBER('NISD NATHAM TOP 5 REJECTION VIL'!D14),'NISD NATHAM TOP 5 REJECTION VIL'!D14,"")</f>
        <v>4</v>
      </c>
      <c r="I55" s="85" t="n">
        <f aca="false">IF(ISNUMBER(H55),H55+(1000-11)/100000,-1)</f>
        <v>4.00989</v>
      </c>
      <c r="K55" s="83" t="str">
        <f aca="false">IF('ISD RURAL TOP 5VILLAGES'!B14&lt;&gt;"",'ISD RURAL TOP 5VILLAGES'!B14,K54)</f>
        <v>CUDDALORE</v>
      </c>
      <c r="L55" s="83" t="str">
        <f aca="false">IF('ISD RURAL TOP 5VILLAGES'!C14="","",'ISD RURAL TOP 5VILLAGES'!C14)</f>
        <v>NATHAPATTU</v>
      </c>
      <c r="M55" s="75" t="n">
        <f aca="false">IF(ISNUMBER('ISD RURAL TOP 5VILLAGES'!D14),'ISD RURAL TOP 5VILLAGES'!D14,"")</f>
        <v>7</v>
      </c>
      <c r="N55" s="85" t="n">
        <f aca="false">IF(ISNUMBER(M55),M55+(1000-11)/100000,-1)</f>
        <v>7.00989</v>
      </c>
      <c r="P55" s="83" t="str">
        <f aca="false">IF('ISD NATHAM TOP 5 VILLAGES'!B14&lt;&gt;"",'ISD NATHAM TOP 5 VILLAGES'!B14,P54)</f>
        <v>CUDDALORE</v>
      </c>
      <c r="Q55" s="83" t="str">
        <f aca="false">IF('ISD NATHAM TOP 5 VILLAGES'!C14="","",'ISD NATHAM TOP 5 VILLAGES'!C14)</f>
        <v>VELLAKARAI</v>
      </c>
      <c r="R55" s="75" t="n">
        <f aca="false">IF(ISNUMBER('ISD NATHAM TOP 5 VILLAGES'!D14),'ISD NATHAM TOP 5 VILLAGES'!D14,"")</f>
        <v>4</v>
      </c>
      <c r="S55" s="85" t="n">
        <f aca="false">IF(ISNUMBER(R55),R55+(1000-11)/100000,-1)</f>
        <v>4.00989</v>
      </c>
      <c r="U55" s="69" t="str">
        <f aca="false">CHOOSE(Dashboard!$T$24,A55,F55,K55,P55)</f>
        <v>CUDDALORE</v>
      </c>
      <c r="V55" s="69" t="str">
        <f aca="false">CHOOSE(Dashboard!$T$24,B55,G55,L55,Q55)</f>
        <v>VELLAKARAI</v>
      </c>
      <c r="W55" s="23" t="n">
        <f aca="false">CHOOSE(Dashboard!$T$24,C55,H55,M55,R55)</f>
        <v>6</v>
      </c>
      <c r="X55" s="85" t="n">
        <f aca="false">CHOOSE(Dashboard!$T$24,D55,I55,N55,S55)</f>
        <v>6.00989</v>
      </c>
    </row>
    <row r="56" customFormat="false" ht="23.85" hidden="false" customHeight="false" outlineLevel="0" collapsed="false">
      <c r="A56" s="83" t="str">
        <f aca="false">IF('NISD RURAL TOP 5 REJECTION VILL'!B15&lt;&gt;"",'NISD RURAL TOP 5 REJECTION VILL'!B15,A55)</f>
        <v>CUDDALORE</v>
      </c>
      <c r="B56" s="83" t="str">
        <f aca="false">IF('NISD RURAL TOP 5 REJECTION VILL'!C15="","",'NISD RURAL TOP 5 REJECTION VILL'!C15)</f>
        <v>THIRUVANDHIPURAM</v>
      </c>
      <c r="C56" s="75" t="n">
        <f aca="false">IF(ISNUMBER('NISD RURAL TOP 5 REJECTION VILL'!D15),'NISD RURAL TOP 5 REJECTION VILL'!D15,"")</f>
        <v>6</v>
      </c>
      <c r="D56" s="85" t="n">
        <f aca="false">IF(ISNUMBER(C56),C56+(1000-12)/100000,-1)</f>
        <v>6.00988</v>
      </c>
      <c r="F56" s="83" t="str">
        <f aca="false">IF('NISD NATHAM TOP 5 REJECTION VIL'!B15&lt;&gt;"",'NISD NATHAM TOP 5 REJECTION VIL'!B15,F55)</f>
        <v>CUDDALORE</v>
      </c>
      <c r="G56" s="83" t="str">
        <f aca="false">IF('NISD NATHAM TOP 5 REJECTION VIL'!C15="","",'NISD NATHAM TOP 5 REJECTION VIL'!C15)</f>
        <v>Naduveerapattu</v>
      </c>
      <c r="H56" s="75" t="n">
        <f aca="false">IF(ISNUMBER('NISD NATHAM TOP 5 REJECTION VIL'!D15),'NISD NATHAM TOP 5 REJECTION VIL'!D15,"")</f>
        <v>3</v>
      </c>
      <c r="I56" s="85" t="n">
        <f aca="false">IF(ISNUMBER(H56),H56+(1000-12)/100000,-1)</f>
        <v>3.00988</v>
      </c>
      <c r="K56" s="83" t="str">
        <f aca="false">IF('ISD RURAL TOP 5VILLAGES'!B15&lt;&gt;"",'ISD RURAL TOP 5VILLAGES'!B15,K55)</f>
        <v>CUDDALORE</v>
      </c>
      <c r="L56" s="83" t="str">
        <f aca="false">IF('ISD RURAL TOP 5VILLAGES'!C15="","",'ISD RURAL TOP 5VILLAGES'!C15)</f>
        <v>NADUVEERAPATTU</v>
      </c>
      <c r="M56" s="75" t="n">
        <f aca="false">IF(ISNUMBER('ISD RURAL TOP 5VILLAGES'!D15),'ISD RURAL TOP 5VILLAGES'!D15,"")</f>
        <v>6</v>
      </c>
      <c r="N56" s="85" t="n">
        <f aca="false">IF(ISNUMBER(M56),M56+(1000-12)/100000,-1)</f>
        <v>6.00988</v>
      </c>
      <c r="P56" s="83" t="str">
        <f aca="false">IF('ISD NATHAM TOP 5 VILLAGES'!B15&lt;&gt;"",'ISD NATHAM TOP 5 VILLAGES'!B15,P55)</f>
        <v>CUDDALORE</v>
      </c>
      <c r="Q56" s="83" t="str">
        <f aca="false">IF('ISD NATHAM TOP 5 VILLAGES'!C15="","",'ISD NATHAM TOP 5 VILLAGES'!C15)</f>
        <v>ANNAVALLI</v>
      </c>
      <c r="R56" s="75" t="n">
        <f aca="false">IF(ISNUMBER('ISD NATHAM TOP 5 VILLAGES'!D15),'ISD NATHAM TOP 5 VILLAGES'!D15,"")</f>
        <v>3</v>
      </c>
      <c r="S56" s="85" t="n">
        <f aca="false">IF(ISNUMBER(R56),R56+(1000-12)/100000,-1)</f>
        <v>3.00988</v>
      </c>
      <c r="U56" s="69" t="str">
        <f aca="false">CHOOSE(Dashboard!$T$24,A56,F56,K56,P56)</f>
        <v>CUDDALORE</v>
      </c>
      <c r="V56" s="69" t="str">
        <f aca="false">CHOOSE(Dashboard!$T$24,B56,G56,L56,Q56)</f>
        <v>THIRUVANDHIPURAM</v>
      </c>
      <c r="W56" s="23" t="n">
        <f aca="false">CHOOSE(Dashboard!$T$24,C56,H56,M56,R56)</f>
        <v>6</v>
      </c>
      <c r="X56" s="85" t="n">
        <f aca="false">CHOOSE(Dashboard!$T$24,D56,I56,N56,S56)</f>
        <v>6.00988</v>
      </c>
    </row>
    <row r="57" customFormat="false" ht="23.85" hidden="false" customHeight="false" outlineLevel="0" collapsed="false">
      <c r="A57" s="83" t="str">
        <f aca="false">IF('NISD RURAL TOP 5 REJECTION VILL'!B16&lt;&gt;"",'NISD RURAL TOP 5 REJECTION VILL'!B16,A56)</f>
        <v>CUDDALORE</v>
      </c>
      <c r="B57" s="83" t="str">
        <f aca="false">IF('NISD RURAL TOP 5 REJECTION VILL'!C16="","",'NISD RURAL TOP 5 REJECTION VILL'!C16)</f>
        <v>KONDUR</v>
      </c>
      <c r="C57" s="75" t="n">
        <f aca="false">IF(ISNUMBER('NISD RURAL TOP 5 REJECTION VILL'!D16),'NISD RURAL TOP 5 REJECTION VILL'!D16,"")</f>
        <v>4</v>
      </c>
      <c r="D57" s="85" t="n">
        <f aca="false">IF(ISNUMBER(C57),C57+(1000-13)/100000,-1)</f>
        <v>4.00987</v>
      </c>
      <c r="F57" s="83" t="str">
        <f aca="false">IF('NISD NATHAM TOP 5 REJECTION VIL'!B16&lt;&gt;"",'NISD NATHAM TOP 5 REJECTION VIL'!B16,F56)</f>
        <v>CUDDALORE</v>
      </c>
      <c r="G57" s="83" t="str">
        <f aca="false">IF('NISD NATHAM TOP 5 REJECTION VIL'!C16="","",'NISD NATHAM TOP 5 REJECTION VIL'!C16)</f>
        <v>Mathalapatti</v>
      </c>
      <c r="H57" s="75" t="n">
        <f aca="false">IF(ISNUMBER('NISD NATHAM TOP 5 REJECTION VIL'!D16),'NISD NATHAM TOP 5 REJECTION VIL'!D16,"")</f>
        <v>3</v>
      </c>
      <c r="I57" s="85" t="n">
        <f aca="false">IF(ISNUMBER(H57),H57+(1000-13)/100000,-1)</f>
        <v>3.00987</v>
      </c>
      <c r="K57" s="83" t="str">
        <f aca="false">IF('ISD RURAL TOP 5VILLAGES'!B16&lt;&gt;"",'ISD RURAL TOP 5VILLAGES'!B16,K56)</f>
        <v>CUDDALORE</v>
      </c>
      <c r="L57" s="83" t="str">
        <f aca="false">IF('ISD RURAL TOP 5VILLAGES'!C16="","",'ISD RURAL TOP 5VILLAGES'!C16)</f>
        <v>PACHAIYANKUPPAM</v>
      </c>
      <c r="M57" s="75" t="n">
        <f aca="false">IF(ISNUMBER('ISD RURAL TOP 5VILLAGES'!D16),'ISD RURAL TOP 5VILLAGES'!D16,"")</f>
        <v>5</v>
      </c>
      <c r="N57" s="85" t="n">
        <f aca="false">IF(ISNUMBER(M57),M57+(1000-13)/100000,-1)</f>
        <v>5.00987</v>
      </c>
      <c r="P57" s="83" t="str">
        <f aca="false">IF('ISD NATHAM TOP 5 VILLAGES'!B16&lt;&gt;"",'ISD NATHAM TOP 5 VILLAGES'!B16,P56)</f>
        <v>CUDDALORE</v>
      </c>
      <c r="Q57" s="83" t="str">
        <f aca="false">IF('ISD NATHAM TOP 5 VILLAGES'!C16="","",'ISD NATHAM TOP 5 VILLAGES'!C16)</f>
        <v>PATHIRIKUPPAM</v>
      </c>
      <c r="R57" s="75" t="n">
        <f aca="false">IF(ISNUMBER('ISD NATHAM TOP 5 VILLAGES'!D16),'ISD NATHAM TOP 5 VILLAGES'!D16,"")</f>
        <v>3</v>
      </c>
      <c r="S57" s="85" t="n">
        <f aca="false">IF(ISNUMBER(R57),R57+(1000-13)/100000,-1)</f>
        <v>3.00987</v>
      </c>
      <c r="U57" s="69" t="str">
        <f aca="false">CHOOSE(Dashboard!$T$24,A57,F57,K57,P57)</f>
        <v>CUDDALORE</v>
      </c>
      <c r="V57" s="69" t="str">
        <f aca="false">CHOOSE(Dashboard!$T$24,B57,G57,L57,Q57)</f>
        <v>KONDUR</v>
      </c>
      <c r="W57" s="23" t="n">
        <f aca="false">CHOOSE(Dashboard!$T$24,C57,H57,M57,R57)</f>
        <v>4</v>
      </c>
      <c r="X57" s="85" t="n">
        <f aca="false">CHOOSE(Dashboard!$T$24,D57,I57,N57,S57)</f>
        <v>4.00987</v>
      </c>
    </row>
    <row r="58" customFormat="false" ht="23.85" hidden="false" customHeight="false" outlineLevel="0" collapsed="false">
      <c r="A58" s="83" t="str">
        <f aca="false">IF('NISD RURAL TOP 5 REJECTION VILL'!B17&lt;&gt;"",'NISD RURAL TOP 5 REJECTION VILL'!B17,A57)</f>
        <v>CUDDALORE</v>
      </c>
      <c r="B58" s="83" t="str">
        <f aca="false">IF('NISD RURAL TOP 5 REJECTION VILL'!C17="","",'NISD RURAL TOP 5 REJECTION VILL'!C17)</f>
        <v>ARISIPERIYANKUPPAM</v>
      </c>
      <c r="C58" s="75" t="n">
        <f aca="false">IF(ISNUMBER('NISD RURAL TOP 5 REJECTION VILL'!D17),'NISD RURAL TOP 5 REJECTION VILL'!D17,"")</f>
        <v>3</v>
      </c>
      <c r="D58" s="85" t="n">
        <f aca="false">IF(ISNUMBER(C58),C58+(1000-14)/100000,-1)</f>
        <v>3.00986</v>
      </c>
      <c r="F58" s="83" t="str">
        <f aca="false">IF('NISD NATHAM TOP 5 REJECTION VIL'!B17&lt;&gt;"",'NISD NATHAM TOP 5 REJECTION VIL'!B17,F57)</f>
        <v>CUDDALORE</v>
      </c>
      <c r="G58" s="83" t="str">
        <f aca="false">IF('NISD NATHAM TOP 5 REJECTION VIL'!C17="","",'NISD NATHAM TOP 5 REJECTION VIL'!C17)</f>
        <v>Vellakarai</v>
      </c>
      <c r="H58" s="75" t="n">
        <f aca="false">IF(ISNUMBER('NISD NATHAM TOP 5 REJECTION VIL'!D17),'NISD NATHAM TOP 5 REJECTION VIL'!D17,"")</f>
        <v>2</v>
      </c>
      <c r="I58" s="85" t="n">
        <f aca="false">IF(ISNUMBER(H58),H58+(1000-14)/100000,-1)</f>
        <v>2.00986</v>
      </c>
      <c r="K58" s="83" t="str">
        <f aca="false">IF('ISD RURAL TOP 5VILLAGES'!B17&lt;&gt;"",'ISD RURAL TOP 5VILLAGES'!B17,K57)</f>
        <v>CUDDALORE</v>
      </c>
      <c r="L58" s="83" t="str">
        <f aca="false">IF('ISD RURAL TOP 5VILLAGES'!C17="","",'ISD RURAL TOP 5VILLAGES'!C17)</f>
        <v>SEDDAPALAYAM</v>
      </c>
      <c r="M58" s="75" t="n">
        <f aca="false">IF(ISNUMBER('ISD RURAL TOP 5VILLAGES'!D17),'ISD RURAL TOP 5VILLAGES'!D17,"")</f>
        <v>4</v>
      </c>
      <c r="N58" s="85" t="n">
        <f aca="false">IF(ISNUMBER(M58),M58+(1000-14)/100000,-1)</f>
        <v>4.00986</v>
      </c>
      <c r="P58" s="83" t="str">
        <f aca="false">IF('ISD NATHAM TOP 5 VILLAGES'!B17&lt;&gt;"",'ISD NATHAM TOP 5 VILLAGES'!B17,P57)</f>
        <v>CUDDALORE</v>
      </c>
      <c r="Q58" s="83" t="str">
        <f aca="false">IF('ISD NATHAM TOP 5 VILLAGES'!C17="","",'ISD NATHAM TOP 5 VILLAGES'!C17)</f>
        <v>RAMAPURAM</v>
      </c>
      <c r="R58" s="75" t="n">
        <f aca="false">IF(ISNUMBER('ISD NATHAM TOP 5 VILLAGES'!D17),'ISD NATHAM TOP 5 VILLAGES'!D17,"")</f>
        <v>2</v>
      </c>
      <c r="S58" s="85" t="n">
        <f aca="false">IF(ISNUMBER(R58),R58+(1000-14)/100000,-1)</f>
        <v>2.00986</v>
      </c>
      <c r="U58" s="69" t="str">
        <f aca="false">CHOOSE(Dashboard!$T$24,A58,F58,K58,P58)</f>
        <v>CUDDALORE</v>
      </c>
      <c r="V58" s="69" t="str">
        <f aca="false">CHOOSE(Dashboard!$T$24,B58,G58,L58,Q58)</f>
        <v>ARISIPERIYANKUPPAM</v>
      </c>
      <c r="W58" s="23" t="n">
        <f aca="false">CHOOSE(Dashboard!$T$24,C58,H58,M58,R58)</f>
        <v>3</v>
      </c>
      <c r="X58" s="85" t="n">
        <f aca="false">CHOOSE(Dashboard!$T$24,D58,I58,N58,S58)</f>
        <v>3.00986</v>
      </c>
    </row>
    <row r="59" customFormat="false" ht="15" hidden="false" customHeight="false" outlineLevel="0" collapsed="false">
      <c r="A59" s="83" t="str">
        <f aca="false">IF('NISD RURAL TOP 5 REJECTION VILL'!B18&lt;&gt;"",'NISD RURAL TOP 5 REJECTION VILL'!B18,A58)</f>
        <v>PANRUTI</v>
      </c>
      <c r="B59" s="83" t="str">
        <f aca="false">IF('NISD RURAL TOP 5 REJECTION VILL'!C18="","",'NISD RURAL TOP 5 REJECTION VILL'!C18)</f>
        <v>VEGAKOLLAI</v>
      </c>
      <c r="C59" s="75" t="n">
        <f aca="false">IF(ISNUMBER('NISD RURAL TOP 5 REJECTION VILL'!D18),'NISD RURAL TOP 5 REJECTION VILL'!D18,"")</f>
        <v>21</v>
      </c>
      <c r="D59" s="85" t="n">
        <f aca="false">IF(ISNUMBER(C59),C59+(1000-15)/100000,-1)</f>
        <v>21.00985</v>
      </c>
      <c r="F59" s="83" t="str">
        <f aca="false">IF('NISD NATHAM TOP 5 REJECTION VIL'!B18&lt;&gt;"",'NISD NATHAM TOP 5 REJECTION VIL'!B18,F58)</f>
        <v>PANRUTI</v>
      </c>
      <c r="G59" s="83" t="str">
        <f aca="false">IF('NISD NATHAM TOP 5 REJECTION VIL'!C18="","",'NISD NATHAM TOP 5 REJECTION VIL'!C18)</f>
        <v>Vallam</v>
      </c>
      <c r="H59" s="75" t="n">
        <f aca="false">IF(ISNUMBER('NISD NATHAM TOP 5 REJECTION VIL'!D18),'NISD NATHAM TOP 5 REJECTION VIL'!D18,"")</f>
        <v>8</v>
      </c>
      <c r="I59" s="85" t="n">
        <f aca="false">IF(ISNUMBER(H59),H59+(1000-15)/100000,-1)</f>
        <v>8.00985</v>
      </c>
      <c r="K59" s="83" t="str">
        <f aca="false">IF('ISD RURAL TOP 5VILLAGES'!B18&lt;&gt;"",'ISD RURAL TOP 5VILLAGES'!B18,K58)</f>
        <v>PANRUTI</v>
      </c>
      <c r="L59" s="83" t="str">
        <f aca="false">IF('ISD RURAL TOP 5VILLAGES'!C18="","",'ISD RURAL TOP 5VILLAGES'!C18)</f>
        <v>VEGAKOLLAI</v>
      </c>
      <c r="M59" s="75" t="n">
        <f aca="false">IF(ISNUMBER('ISD RURAL TOP 5VILLAGES'!D18),'ISD RURAL TOP 5VILLAGES'!D18,"")</f>
        <v>10</v>
      </c>
      <c r="N59" s="85" t="n">
        <f aca="false">IF(ISNUMBER(M59),M59+(1000-15)/100000,-1)</f>
        <v>10.00985</v>
      </c>
      <c r="P59" s="83" t="str">
        <f aca="false">IF('ISD NATHAM TOP 5 VILLAGES'!B18&lt;&gt;"",'ISD NATHAM TOP 5 VILLAGES'!B18,P58)</f>
        <v>PANRUTI</v>
      </c>
      <c r="Q59" s="83" t="str">
        <f aca="false">IF('ISD NATHAM TOP 5 VILLAGES'!C18="","",'ISD NATHAM TOP 5 VILLAGES'!C18)</f>
        <v>VISUR</v>
      </c>
      <c r="R59" s="75" t="n">
        <f aca="false">IF(ISNUMBER('ISD NATHAM TOP 5 VILLAGES'!D18),'ISD NATHAM TOP 5 VILLAGES'!D18,"")</f>
        <v>6</v>
      </c>
      <c r="S59" s="85" t="n">
        <f aca="false">IF(ISNUMBER(R59),R59+(1000-15)/100000,-1)</f>
        <v>6.00985</v>
      </c>
      <c r="U59" s="69" t="str">
        <f aca="false">CHOOSE(Dashboard!$T$24,A59,F59,K59,P59)</f>
        <v>PANRUTI</v>
      </c>
      <c r="V59" s="69" t="str">
        <f aca="false">CHOOSE(Dashboard!$T$24,B59,G59,L59,Q59)</f>
        <v>VEGAKOLLAI</v>
      </c>
      <c r="W59" s="23" t="n">
        <f aca="false">CHOOSE(Dashboard!$T$24,C59,H59,M59,R59)</f>
        <v>21</v>
      </c>
      <c r="X59" s="85" t="n">
        <f aca="false">CHOOSE(Dashboard!$T$24,D59,I59,N59,S59)</f>
        <v>21.00985</v>
      </c>
    </row>
    <row r="60" customFormat="false" ht="23.85" hidden="false" customHeight="false" outlineLevel="0" collapsed="false">
      <c r="A60" s="83" t="str">
        <f aca="false">IF('NISD RURAL TOP 5 REJECTION VILL'!B19&lt;&gt;"",'NISD RURAL TOP 5 REJECTION VILL'!B19,A59)</f>
        <v>PANRUTI</v>
      </c>
      <c r="B60" s="83" t="str">
        <f aca="false">IF('NISD RURAL TOP 5 REJECTION VILL'!C19="","",'NISD RURAL TOP 5 REJECTION VILL'!C19)</f>
        <v>VALLAM</v>
      </c>
      <c r="C60" s="75" t="n">
        <f aca="false">IF(ISNUMBER('NISD RURAL TOP 5 REJECTION VILL'!D19),'NISD RURAL TOP 5 REJECTION VILL'!D19,"")</f>
        <v>14</v>
      </c>
      <c r="D60" s="85" t="n">
        <f aca="false">IF(ISNUMBER(C60),C60+(1000-16)/100000,-1)</f>
        <v>14.00984</v>
      </c>
      <c r="F60" s="83" t="str">
        <f aca="false">IF('NISD NATHAM TOP 5 REJECTION VIL'!B19&lt;&gt;"",'NISD NATHAM TOP 5 REJECTION VIL'!B19,F59)</f>
        <v>PANRUTI</v>
      </c>
      <c r="G60" s="83" t="str">
        <f aca="false">IF('NISD NATHAM TOP 5 REJECTION VIL'!C19="","",'NISD NATHAM TOP 5 REJECTION VIL'!C19)</f>
        <v>Nadukuppam</v>
      </c>
      <c r="H60" s="75" t="n">
        <f aca="false">IF(ISNUMBER('NISD NATHAM TOP 5 REJECTION VIL'!D19),'NISD NATHAM TOP 5 REJECTION VIL'!D19,"")</f>
        <v>7</v>
      </c>
      <c r="I60" s="85" t="n">
        <f aca="false">IF(ISNUMBER(H60),H60+(1000-16)/100000,-1)</f>
        <v>7.00984</v>
      </c>
      <c r="K60" s="83" t="str">
        <f aca="false">IF('ISD RURAL TOP 5VILLAGES'!B19&lt;&gt;"",'ISD RURAL TOP 5VILLAGES'!B19,K59)</f>
        <v>PANRUTI</v>
      </c>
      <c r="L60" s="83" t="str">
        <f aca="false">IF('ISD RURAL TOP 5VILLAGES'!C19="","",'ISD RURAL TOP 5VILLAGES'!C19)</f>
        <v>MALIGAMPATTU</v>
      </c>
      <c r="M60" s="75" t="n">
        <f aca="false">IF(ISNUMBER('ISD RURAL TOP 5VILLAGES'!D19),'ISD RURAL TOP 5VILLAGES'!D19,"")</f>
        <v>9</v>
      </c>
      <c r="N60" s="85" t="n">
        <f aca="false">IF(ISNUMBER(M60),M60+(1000-16)/100000,-1)</f>
        <v>9.00984</v>
      </c>
      <c r="P60" s="83" t="str">
        <f aca="false">IF('ISD NATHAM TOP 5 VILLAGES'!B19&lt;&gt;"",'ISD NATHAM TOP 5 VILLAGES'!B19,P59)</f>
        <v>PANRUTI</v>
      </c>
      <c r="Q60" s="83" t="str">
        <f aca="false">IF('ISD NATHAM TOP 5 VILLAGES'!C19="","",'ISD NATHAM TOP 5 VILLAGES'!C19)</f>
        <v>L.N.PURAM</v>
      </c>
      <c r="R60" s="75" t="n">
        <f aca="false">IF(ISNUMBER('ISD NATHAM TOP 5 VILLAGES'!D19),'ISD NATHAM TOP 5 VILLAGES'!D19,"")</f>
        <v>4</v>
      </c>
      <c r="S60" s="85" t="n">
        <f aca="false">IF(ISNUMBER(R60),R60+(1000-16)/100000,-1)</f>
        <v>4.00984</v>
      </c>
      <c r="U60" s="69" t="str">
        <f aca="false">CHOOSE(Dashboard!$T$24,A60,F60,K60,P60)</f>
        <v>PANRUTI</v>
      </c>
      <c r="V60" s="69" t="str">
        <f aca="false">CHOOSE(Dashboard!$T$24,B60,G60,L60,Q60)</f>
        <v>VALLAM</v>
      </c>
      <c r="W60" s="23" t="n">
        <f aca="false">CHOOSE(Dashboard!$T$24,C60,H60,M60,R60)</f>
        <v>14</v>
      </c>
      <c r="X60" s="85" t="n">
        <f aca="false">CHOOSE(Dashboard!$T$24,D60,I60,N60,S60)</f>
        <v>14.00984</v>
      </c>
    </row>
    <row r="61" customFormat="false" ht="23.85" hidden="false" customHeight="false" outlineLevel="0" collapsed="false">
      <c r="A61" s="83" t="str">
        <f aca="false">IF('NISD RURAL TOP 5 REJECTION VILL'!B20&lt;&gt;"",'NISD RURAL TOP 5 REJECTION VILL'!B20,A60)</f>
        <v>PANRUTI</v>
      </c>
      <c r="B61" s="83" t="str">
        <f aca="false">IF('NISD RURAL TOP 5 REJECTION VILL'!C20="","",'NISD RURAL TOP 5 REJECTION VILL'!C20)</f>
        <v>MELMAMPATTU</v>
      </c>
      <c r="C61" s="75" t="n">
        <f aca="false">IF(ISNUMBER('NISD RURAL TOP 5 REJECTION VILL'!D20),'NISD RURAL TOP 5 REJECTION VILL'!D20,"")</f>
        <v>9</v>
      </c>
      <c r="D61" s="85" t="n">
        <f aca="false">IF(ISNUMBER(C61),C61+(1000-17)/100000,-1)</f>
        <v>9.00983</v>
      </c>
      <c r="F61" s="83" t="str">
        <f aca="false">IF('NISD NATHAM TOP 5 REJECTION VIL'!B20&lt;&gt;"",'NISD NATHAM TOP 5 REJECTION VIL'!B20,F60)</f>
        <v>PANRUTI</v>
      </c>
      <c r="G61" s="83" t="str">
        <f aca="false">IF('NISD NATHAM TOP 5 REJECTION VIL'!C20="","",'NISD NATHAM TOP 5 REJECTION VIL'!C20)</f>
        <v>Visur</v>
      </c>
      <c r="H61" s="75" t="n">
        <f aca="false">IF(ISNUMBER('NISD NATHAM TOP 5 REJECTION VIL'!D20),'NISD NATHAM TOP 5 REJECTION VIL'!D20,"")</f>
        <v>5</v>
      </c>
      <c r="I61" s="85" t="n">
        <f aca="false">IF(ISNUMBER(H61),H61+(1000-17)/100000,-1)</f>
        <v>5.00983</v>
      </c>
      <c r="K61" s="83" t="str">
        <f aca="false">IF('ISD RURAL TOP 5VILLAGES'!B20&lt;&gt;"",'ISD RURAL TOP 5VILLAGES'!B20,K60)</f>
        <v>PANRUTI</v>
      </c>
      <c r="L61" s="83" t="str">
        <f aca="false">IF('ISD RURAL TOP 5VILLAGES'!C20="","",'ISD RURAL TOP 5VILLAGES'!C20)</f>
        <v>SILAMBINATHANPETTAI</v>
      </c>
      <c r="M61" s="75" t="n">
        <f aca="false">IF(ISNUMBER('ISD RURAL TOP 5VILLAGES'!D20),'ISD RURAL TOP 5VILLAGES'!D20,"")</f>
        <v>5</v>
      </c>
      <c r="N61" s="85" t="n">
        <f aca="false">IF(ISNUMBER(M61),M61+(1000-17)/100000,-1)</f>
        <v>5.00983</v>
      </c>
      <c r="P61" s="83" t="str">
        <f aca="false">IF('ISD NATHAM TOP 5 VILLAGES'!B20&lt;&gt;"",'ISD NATHAM TOP 5 VILLAGES'!B20,P60)</f>
        <v>PANRUTI</v>
      </c>
      <c r="Q61" s="83" t="str">
        <f aca="false">IF('ISD NATHAM TOP 5 VILLAGES'!C20="","",'ISD NATHAM TOP 5 VILLAGES'!C20)</f>
        <v>KADAMPULIYUR</v>
      </c>
      <c r="R61" s="75" t="n">
        <f aca="false">IF(ISNUMBER('ISD NATHAM TOP 5 VILLAGES'!D20),'ISD NATHAM TOP 5 VILLAGES'!D20,"")</f>
        <v>3</v>
      </c>
      <c r="S61" s="85" t="n">
        <f aca="false">IF(ISNUMBER(R61),R61+(1000-17)/100000,-1)</f>
        <v>3.00983</v>
      </c>
      <c r="U61" s="69" t="str">
        <f aca="false">CHOOSE(Dashboard!$T$24,A61,F61,K61,P61)</f>
        <v>PANRUTI</v>
      </c>
      <c r="V61" s="69" t="str">
        <f aca="false">CHOOSE(Dashboard!$T$24,B61,G61,L61,Q61)</f>
        <v>MELMAMPATTU</v>
      </c>
      <c r="W61" s="23" t="n">
        <f aca="false">CHOOSE(Dashboard!$T$24,C61,H61,M61,R61)</f>
        <v>9</v>
      </c>
      <c r="X61" s="85" t="n">
        <f aca="false">CHOOSE(Dashboard!$T$24,D61,I61,N61,S61)</f>
        <v>9.00983</v>
      </c>
    </row>
    <row r="62" customFormat="false" ht="23.85" hidden="false" customHeight="false" outlineLevel="0" collapsed="false">
      <c r="A62" s="83" t="str">
        <f aca="false">IF('NISD RURAL TOP 5 REJECTION VILL'!B21&lt;&gt;"",'NISD RURAL TOP 5 REJECTION VILL'!B21,A61)</f>
        <v>PANRUTI</v>
      </c>
      <c r="B62" s="83" t="str">
        <f aca="false">IF('NISD RURAL TOP 5 REJECTION VILL'!C21="","",'NISD RURAL TOP 5 REJECTION VILL'!C21)</f>
        <v>MARUNGUR</v>
      </c>
      <c r="C62" s="75" t="n">
        <f aca="false">IF(ISNUMBER('NISD RURAL TOP 5 REJECTION VILL'!D21),'NISD RURAL TOP 5 REJECTION VILL'!D21,"")</f>
        <v>8</v>
      </c>
      <c r="D62" s="85" t="n">
        <f aca="false">IF(ISNUMBER(C62),C62+(1000-18)/100000,-1)</f>
        <v>8.00982</v>
      </c>
      <c r="F62" s="83" t="str">
        <f aca="false">IF('NISD NATHAM TOP 5 REJECTION VIL'!B21&lt;&gt;"",'NISD NATHAM TOP 5 REJECTION VIL'!B21,F61)</f>
        <v>PANRUTI</v>
      </c>
      <c r="G62" s="83" t="str">
        <f aca="false">IF('NISD NATHAM TOP 5 REJECTION VIL'!C21="","",'NISD NATHAM TOP 5 REJECTION VIL'!C21)</f>
        <v>Vegakollai</v>
      </c>
      <c r="H62" s="75" t="n">
        <f aca="false">IF(ISNUMBER('NISD NATHAM TOP 5 REJECTION VIL'!D21),'NISD NATHAM TOP 5 REJECTION VIL'!D21,"")</f>
        <v>4</v>
      </c>
      <c r="I62" s="85" t="n">
        <f aca="false">IF(ISNUMBER(H62),H62+(1000-18)/100000,-1)</f>
        <v>4.00982</v>
      </c>
      <c r="K62" s="83" t="str">
        <f aca="false">IF('ISD RURAL TOP 5VILLAGES'!B21&lt;&gt;"",'ISD RURAL TOP 5VILLAGES'!B21,K61)</f>
        <v>PANRUTI</v>
      </c>
      <c r="L62" s="83" t="str">
        <f aca="false">IF('ISD RURAL TOP 5VILLAGES'!C21="","",'ISD RURAL TOP 5VILLAGES'!C21)</f>
        <v>MARUNGUR</v>
      </c>
      <c r="M62" s="75" t="n">
        <f aca="false">IF(ISNUMBER('ISD RURAL TOP 5VILLAGES'!D21),'ISD RURAL TOP 5VILLAGES'!D21,"")</f>
        <v>5</v>
      </c>
      <c r="N62" s="85" t="n">
        <f aca="false">IF(ISNUMBER(M62),M62+(1000-18)/100000,-1)</f>
        <v>5.00982</v>
      </c>
      <c r="P62" s="83" t="str">
        <f aca="false">IF('ISD NATHAM TOP 5 VILLAGES'!B21&lt;&gt;"",'ISD NATHAM TOP 5 VILLAGES'!B21,P61)</f>
        <v>PANRUTI</v>
      </c>
      <c r="Q62" s="83" t="str">
        <f aca="false">IF('ISD NATHAM TOP 5 VILLAGES'!C21="","",'ISD NATHAM TOP 5 VILLAGES'!C21)</f>
        <v>KILKANGEYANKUPPAM</v>
      </c>
      <c r="R62" s="75" t="n">
        <f aca="false">IF(ISNUMBER('ISD NATHAM TOP 5 VILLAGES'!D21),'ISD NATHAM TOP 5 VILLAGES'!D21,"")</f>
        <v>3</v>
      </c>
      <c r="S62" s="85" t="n">
        <f aca="false">IF(ISNUMBER(R62),R62+(1000-18)/100000,-1)</f>
        <v>3.00982</v>
      </c>
      <c r="U62" s="69" t="str">
        <f aca="false">CHOOSE(Dashboard!$T$24,A62,F62,K62,P62)</f>
        <v>PANRUTI</v>
      </c>
      <c r="V62" s="69" t="str">
        <f aca="false">CHOOSE(Dashboard!$T$24,B62,G62,L62,Q62)</f>
        <v>MARUNGUR</v>
      </c>
      <c r="W62" s="23" t="n">
        <f aca="false">CHOOSE(Dashboard!$T$24,C62,H62,M62,R62)</f>
        <v>8</v>
      </c>
      <c r="X62" s="85" t="n">
        <f aca="false">CHOOSE(Dashboard!$T$24,D62,I62,N62,S62)</f>
        <v>8.00982</v>
      </c>
    </row>
    <row r="63" customFormat="false" ht="23.85" hidden="false" customHeight="false" outlineLevel="0" collapsed="false">
      <c r="A63" s="83" t="str">
        <f aca="false">IF('NISD RURAL TOP 5 REJECTION VILL'!B22&lt;&gt;"",'NISD RURAL TOP 5 REJECTION VILL'!B22,A62)</f>
        <v>PANRUTI</v>
      </c>
      <c r="B63" s="83" t="str">
        <f aca="false">IF('NISD RURAL TOP 5 REJECTION VILL'!C22="","",'NISD RURAL TOP 5 REJECTION VILL'!C22)</f>
        <v>SILAMBIANATHAPETTAI</v>
      </c>
      <c r="C63" s="75" t="n">
        <f aca="false">IF(ISNUMBER('NISD RURAL TOP 5 REJECTION VILL'!D22),'NISD RURAL TOP 5 REJECTION VILL'!D22,"")</f>
        <v>7</v>
      </c>
      <c r="D63" s="85" t="n">
        <f aca="false">IF(ISNUMBER(C63),C63+(1000-19)/100000,-1)</f>
        <v>7.00981</v>
      </c>
      <c r="F63" s="83" t="str">
        <f aca="false">IF('NISD NATHAM TOP 5 REJECTION VIL'!B22&lt;&gt;"",'NISD NATHAM TOP 5 REJECTION VIL'!B22,F62)</f>
        <v>PANRUTI</v>
      </c>
      <c r="G63" s="83" t="str">
        <f aca="false">IF('NISD NATHAM TOP 5 REJECTION VIL'!C22="","",'NISD NATHAM TOP 5 REJECTION VIL'!C22)</f>
        <v>Kilkangayankuppam</v>
      </c>
      <c r="H63" s="75" t="n">
        <f aca="false">IF(ISNUMBER('NISD NATHAM TOP 5 REJECTION VIL'!D22),'NISD NATHAM TOP 5 REJECTION VIL'!D22,"")</f>
        <v>4</v>
      </c>
      <c r="I63" s="85" t="n">
        <f aca="false">IF(ISNUMBER(H63),H63+(1000-19)/100000,-1)</f>
        <v>4.00981</v>
      </c>
      <c r="K63" s="83" t="str">
        <f aca="false">IF('ISD RURAL TOP 5VILLAGES'!B22&lt;&gt;"",'ISD RURAL TOP 5VILLAGES'!B22,K62)</f>
        <v>PANRUTI</v>
      </c>
      <c r="L63" s="83" t="str">
        <f aca="false">IF('ISD RURAL TOP 5VILLAGES'!C22="","",'ISD RURAL TOP 5VILLAGES'!C22)</f>
        <v>MELMAMPATTU</v>
      </c>
      <c r="M63" s="75" t="n">
        <f aca="false">IF(ISNUMBER('ISD RURAL TOP 5VILLAGES'!D22),'ISD RURAL TOP 5VILLAGES'!D22,"")</f>
        <v>4</v>
      </c>
      <c r="N63" s="85" t="n">
        <f aca="false">IF(ISNUMBER(M63),M63+(1000-19)/100000,-1)</f>
        <v>4.00981</v>
      </c>
      <c r="P63" s="83" t="str">
        <f aca="false">IF('ISD NATHAM TOP 5 VILLAGES'!B22&lt;&gt;"",'ISD NATHAM TOP 5 VILLAGES'!B22,P62)</f>
        <v>PANRUTI</v>
      </c>
      <c r="Q63" s="83" t="str">
        <f aca="false">IF('ISD NATHAM TOP 5 VILLAGES'!C22="","",'ISD NATHAM TOP 5 VILLAGES'!C22)</f>
        <v>PURANGANI</v>
      </c>
      <c r="R63" s="75" t="n">
        <f aca="false">IF(ISNUMBER('ISD NATHAM TOP 5 VILLAGES'!D22),'ISD NATHAM TOP 5 VILLAGES'!D22,"")</f>
        <v>2</v>
      </c>
      <c r="S63" s="85" t="n">
        <f aca="false">IF(ISNUMBER(R63),R63+(1000-19)/100000,-1)</f>
        <v>2.00981</v>
      </c>
      <c r="U63" s="69" t="str">
        <f aca="false">CHOOSE(Dashboard!$T$24,A63,F63,K63,P63)</f>
        <v>PANRUTI</v>
      </c>
      <c r="V63" s="69" t="str">
        <f aca="false">CHOOSE(Dashboard!$T$24,B63,G63,L63,Q63)</f>
        <v>SILAMBIANATHAPETTAI</v>
      </c>
      <c r="W63" s="23" t="n">
        <f aca="false">CHOOSE(Dashboard!$T$24,C63,H63,M63,R63)</f>
        <v>7</v>
      </c>
      <c r="X63" s="85" t="n">
        <f aca="false">CHOOSE(Dashboard!$T$24,D63,I63,N63,S63)</f>
        <v>7.00981</v>
      </c>
    </row>
    <row r="64" customFormat="false" ht="23.85" hidden="false" customHeight="false" outlineLevel="0" collapsed="false">
      <c r="A64" s="83" t="str">
        <f aca="false">IF('NISD RURAL TOP 5 REJECTION VILL'!B23&lt;&gt;"",'NISD RURAL TOP 5 REJECTION VILL'!B23,A63)</f>
        <v>KURINJIPADI</v>
      </c>
      <c r="B64" s="83" t="str">
        <f aca="false">IF('NISD RURAL TOP 5 REJECTION VILL'!C23="","",'NISD RURAL TOP 5 REJECTION VILL'!C23)</f>
        <v>VADAKUTHU</v>
      </c>
      <c r="C64" s="75" t="n">
        <f aca="false">IF(ISNUMBER('NISD RURAL TOP 5 REJECTION VILL'!D23),'NISD RURAL TOP 5 REJECTION VILL'!D23,"")</f>
        <v>10</v>
      </c>
      <c r="D64" s="85" t="n">
        <f aca="false">IF(ISNUMBER(C64),C64+(1000-20)/100000,-1)</f>
        <v>10.0098</v>
      </c>
      <c r="F64" s="83" t="str">
        <f aca="false">IF('NISD NATHAM TOP 5 REJECTION VIL'!B23&lt;&gt;"",'NISD NATHAM TOP 5 REJECTION VIL'!B23,F63)</f>
        <v>KURINJIPADI</v>
      </c>
      <c r="G64" s="83" t="str">
        <f aca="false">IF('NISD NATHAM TOP 5 REJECTION VIL'!C23="","",'NISD NATHAM TOP 5 REJECTION VIL'!C23)</f>
        <v>Parvathipuram</v>
      </c>
      <c r="H64" s="75" t="n">
        <f aca="false">IF(ISNUMBER('NISD NATHAM TOP 5 REJECTION VIL'!D23),'NISD NATHAM TOP 5 REJECTION VIL'!D23,"")</f>
        <v>3</v>
      </c>
      <c r="I64" s="85" t="n">
        <f aca="false">IF(ISNUMBER(H64),H64+(1000-20)/100000,-1)</f>
        <v>3.0098</v>
      </c>
      <c r="K64" s="83" t="str">
        <f aca="false">IF('ISD RURAL TOP 5VILLAGES'!B23&lt;&gt;"",'ISD RURAL TOP 5VILLAGES'!B23,K63)</f>
        <v>KURINJIPADI</v>
      </c>
      <c r="L64" s="83" t="str">
        <f aca="false">IF('ISD RURAL TOP 5VILLAGES'!C23="","",'ISD RURAL TOP 5VILLAGES'!C23)</f>
        <v>VADAKUTHU</v>
      </c>
      <c r="M64" s="75" t="n">
        <f aca="false">IF(ISNUMBER('ISD RURAL TOP 5VILLAGES'!D23),'ISD RURAL TOP 5VILLAGES'!D23,"")</f>
        <v>18</v>
      </c>
      <c r="N64" s="85" t="n">
        <f aca="false">IF(ISNUMBER(M64),M64+(1000-20)/100000,-1)</f>
        <v>18.0098</v>
      </c>
      <c r="P64" s="83" t="str">
        <f aca="false">IF('ISD NATHAM TOP 5 VILLAGES'!B23&lt;&gt;"",'ISD NATHAM TOP 5 VILLAGES'!B23,P63)</f>
        <v>KURINJIPADI</v>
      </c>
      <c r="Q64" s="83" t="str">
        <f aca="false">IF('ISD NATHAM TOP 5 VILLAGES'!C23="","",'ISD NATHAM TOP 5 VILLAGES'!C23)</f>
        <v>KORANAPATTU</v>
      </c>
      <c r="R64" s="75" t="n">
        <f aca="false">IF(ISNUMBER('ISD NATHAM TOP 5 VILLAGES'!D23),'ISD NATHAM TOP 5 VILLAGES'!D23,"")</f>
        <v>3</v>
      </c>
      <c r="S64" s="85" t="n">
        <f aca="false">IF(ISNUMBER(R64),R64+(1000-20)/100000,-1)</f>
        <v>3.0098</v>
      </c>
      <c r="U64" s="69" t="str">
        <f aca="false">CHOOSE(Dashboard!$T$24,A64,F64,K64,P64)</f>
        <v>KURINJIPADI</v>
      </c>
      <c r="V64" s="69" t="str">
        <f aca="false">CHOOSE(Dashboard!$T$24,B64,G64,L64,Q64)</f>
        <v>VADAKUTHU</v>
      </c>
      <c r="W64" s="23" t="n">
        <f aca="false">CHOOSE(Dashboard!$T$24,C64,H64,M64,R64)</f>
        <v>10</v>
      </c>
      <c r="X64" s="85" t="n">
        <f aca="false">CHOOSE(Dashboard!$T$24,D64,I64,N64,S64)</f>
        <v>10.0098</v>
      </c>
    </row>
    <row r="65" customFormat="false" ht="23.85" hidden="false" customHeight="false" outlineLevel="0" collapsed="false">
      <c r="A65" s="83" t="str">
        <f aca="false">IF('NISD RURAL TOP 5 REJECTION VILL'!B24&lt;&gt;"",'NISD RURAL TOP 5 REJECTION VILL'!B24,A64)</f>
        <v>KURINJIPADI</v>
      </c>
      <c r="B65" s="83" t="str">
        <f aca="false">IF('NISD RURAL TOP 5 REJECTION VILL'!C24="","",'NISD RURAL TOP 5 REJECTION VILL'!C24)</f>
        <v>PARVATHIPURAM</v>
      </c>
      <c r="C65" s="75" t="n">
        <f aca="false">IF(ISNUMBER('NISD RURAL TOP 5 REJECTION VILL'!D24),'NISD RURAL TOP 5 REJECTION VILL'!D24,"")</f>
        <v>9</v>
      </c>
      <c r="D65" s="85" t="n">
        <f aca="false">IF(ISNUMBER(C65),C65+(1000-21)/100000,-1)</f>
        <v>9.00979</v>
      </c>
      <c r="F65" s="83" t="str">
        <f aca="false">IF('NISD NATHAM TOP 5 REJECTION VIL'!B24&lt;&gt;"",'NISD NATHAM TOP 5 REJECTION VIL'!B24,F64)</f>
        <v>KURINJIPADI</v>
      </c>
      <c r="G65" s="83" t="str">
        <f aca="false">IF('NISD NATHAM TOP 5 REJECTION VIL'!C24="","",'NISD NATHAM TOP 5 REJECTION VIL'!C24)</f>
        <v>Ambalavananpettai</v>
      </c>
      <c r="H65" s="75" t="n">
        <f aca="false">IF(ISNUMBER('NISD NATHAM TOP 5 REJECTION VIL'!D24),'NISD NATHAM TOP 5 REJECTION VIL'!D24,"")</f>
        <v>2</v>
      </c>
      <c r="I65" s="85" t="n">
        <f aca="false">IF(ISNUMBER(H65),H65+(1000-21)/100000,-1)</f>
        <v>2.00979</v>
      </c>
      <c r="K65" s="83" t="str">
        <f aca="false">IF('ISD RURAL TOP 5VILLAGES'!B24&lt;&gt;"",'ISD RURAL TOP 5VILLAGES'!B24,K64)</f>
        <v>KURINJIPADI</v>
      </c>
      <c r="L65" s="83" t="str">
        <f aca="false">IF('ISD RURAL TOP 5VILLAGES'!C24="","",'ISD RURAL TOP 5VILLAGES'!C24)</f>
        <v>VAZUTHALAMPATTU</v>
      </c>
      <c r="M65" s="75" t="n">
        <f aca="false">IF(ISNUMBER('ISD RURAL TOP 5VILLAGES'!D24),'ISD RURAL TOP 5VILLAGES'!D24,"")</f>
        <v>8</v>
      </c>
      <c r="N65" s="85" t="n">
        <f aca="false">IF(ISNUMBER(M65),M65+(1000-21)/100000,-1)</f>
        <v>8.00979</v>
      </c>
      <c r="P65" s="83" t="str">
        <f aca="false">IF('ISD NATHAM TOP 5 VILLAGES'!B24&lt;&gt;"",'ISD NATHAM TOP 5 VILLAGES'!B24,P64)</f>
        <v>KURINJIPADI</v>
      </c>
      <c r="Q65" s="83" t="str">
        <f aca="false">IF('ISD NATHAM TOP 5 VILLAGES'!C24="","",'ISD NATHAM TOP 5 VILLAGES'!C24)</f>
        <v>VAZHUTHALAMPATTU</v>
      </c>
      <c r="R65" s="75" t="n">
        <f aca="false">IF(ISNUMBER('ISD NATHAM TOP 5 VILLAGES'!D24),'ISD NATHAM TOP 5 VILLAGES'!D24,"")</f>
        <v>2</v>
      </c>
      <c r="S65" s="85" t="n">
        <f aca="false">IF(ISNUMBER(R65),R65+(1000-21)/100000,-1)</f>
        <v>2.00979</v>
      </c>
      <c r="U65" s="69" t="str">
        <f aca="false">CHOOSE(Dashboard!$T$24,A65,F65,K65,P65)</f>
        <v>KURINJIPADI</v>
      </c>
      <c r="V65" s="69" t="str">
        <f aca="false">CHOOSE(Dashboard!$T$24,B65,G65,L65,Q65)</f>
        <v>PARVATHIPURAM</v>
      </c>
      <c r="W65" s="23" t="n">
        <f aca="false">CHOOSE(Dashboard!$T$24,C65,H65,M65,R65)</f>
        <v>9</v>
      </c>
      <c r="X65" s="85" t="n">
        <f aca="false">CHOOSE(Dashboard!$T$24,D65,I65,N65,S65)</f>
        <v>9.00979</v>
      </c>
    </row>
    <row r="66" customFormat="false" ht="23.85" hidden="false" customHeight="false" outlineLevel="0" collapsed="false">
      <c r="A66" s="83" t="str">
        <f aca="false">IF('NISD RURAL TOP 5 REJECTION VILL'!B25&lt;&gt;"",'NISD RURAL TOP 5 REJECTION VILL'!B25,A65)</f>
        <v>KURINJIPADI</v>
      </c>
      <c r="B66" s="83" t="str">
        <f aca="false">IF('NISD RURAL TOP 5 REJECTION VILL'!C25="","",'NISD RURAL TOP 5 REJECTION VILL'!C25)</f>
        <v>KEEZHUR</v>
      </c>
      <c r="C66" s="75" t="n">
        <f aca="false">IF(ISNUMBER('NISD RURAL TOP 5 REJECTION VILL'!D25),'NISD RURAL TOP 5 REJECTION VILL'!D25,"")</f>
        <v>8</v>
      </c>
      <c r="D66" s="85" t="n">
        <f aca="false">IF(ISNUMBER(C66),C66+(1000-22)/100000,-1)</f>
        <v>8.00978</v>
      </c>
      <c r="F66" s="83" t="str">
        <f aca="false">IF('NISD NATHAM TOP 5 REJECTION VIL'!B25&lt;&gt;"",'NISD NATHAM TOP 5 REJECTION VIL'!B25,F65)</f>
        <v>KURINJIPADI</v>
      </c>
      <c r="G66" s="83" t="str">
        <f aca="false">IF('NISD NATHAM TOP 5 REJECTION VIL'!C25="","",'NISD NATHAM TOP 5 REJECTION VIL'!C25)</f>
        <v>Ellapenpettai</v>
      </c>
      <c r="H66" s="75" t="n">
        <f aca="false">IF(ISNUMBER('NISD NATHAM TOP 5 REJECTION VIL'!D25),'NISD NATHAM TOP 5 REJECTION VIL'!D25,"")</f>
        <v>2</v>
      </c>
      <c r="I66" s="85" t="n">
        <f aca="false">IF(ISNUMBER(H66),H66+(1000-22)/100000,-1)</f>
        <v>2.00978</v>
      </c>
      <c r="K66" s="83" t="str">
        <f aca="false">IF('ISD RURAL TOP 5VILLAGES'!B25&lt;&gt;"",'ISD RURAL TOP 5VILLAGES'!B25,K65)</f>
        <v>KURINJIPADI</v>
      </c>
      <c r="L66" s="83" t="str">
        <f aca="false">IF('ISD RURAL TOP 5VILLAGES'!C25="","",'ISD RURAL TOP 5VILLAGES'!C25)</f>
        <v>SERAKUPPAM</v>
      </c>
      <c r="M66" s="75" t="n">
        <f aca="false">IF(ISNUMBER('ISD RURAL TOP 5VILLAGES'!D25),'ISD RURAL TOP 5VILLAGES'!D25,"")</f>
        <v>7</v>
      </c>
      <c r="N66" s="85" t="n">
        <f aca="false">IF(ISNUMBER(M66),M66+(1000-22)/100000,-1)</f>
        <v>7.00978</v>
      </c>
      <c r="P66" s="83" t="str">
        <f aca="false">IF('ISD NATHAM TOP 5 VILLAGES'!B25&lt;&gt;"",'ISD NATHAM TOP 5 VILLAGES'!B25,P65)</f>
        <v>KURINJIPADI</v>
      </c>
      <c r="Q66" s="83" t="str">
        <f aca="false">IF('ISD NATHAM TOP 5 VILLAGES'!C25="","",'ISD NATHAM TOP 5 VILLAGES'!C25)</f>
        <v>KALKUNAM</v>
      </c>
      <c r="R66" s="75" t="n">
        <f aca="false">IF(ISNUMBER('ISD NATHAM TOP 5 VILLAGES'!D25),'ISD NATHAM TOP 5 VILLAGES'!D25,"")</f>
        <v>2</v>
      </c>
      <c r="S66" s="85" t="n">
        <f aca="false">IF(ISNUMBER(R66),R66+(1000-22)/100000,-1)</f>
        <v>2.00978</v>
      </c>
      <c r="U66" s="69" t="str">
        <f aca="false">CHOOSE(Dashboard!$T$24,A66,F66,K66,P66)</f>
        <v>KURINJIPADI</v>
      </c>
      <c r="V66" s="69" t="str">
        <f aca="false">CHOOSE(Dashboard!$T$24,B66,G66,L66,Q66)</f>
        <v>KEEZHUR</v>
      </c>
      <c r="W66" s="23" t="n">
        <f aca="false">CHOOSE(Dashboard!$T$24,C66,H66,M66,R66)</f>
        <v>8</v>
      </c>
      <c r="X66" s="85" t="n">
        <f aca="false">CHOOSE(Dashboard!$T$24,D66,I66,N66,S66)</f>
        <v>8.00978</v>
      </c>
    </row>
    <row r="67" customFormat="false" ht="23.85" hidden="false" customHeight="false" outlineLevel="0" collapsed="false">
      <c r="A67" s="83" t="str">
        <f aca="false">IF('NISD RURAL TOP 5 REJECTION VILL'!B26&lt;&gt;"",'NISD RURAL TOP 5 REJECTION VILL'!B26,A66)</f>
        <v>KURINJIPADI</v>
      </c>
      <c r="B67" s="83" t="str">
        <f aca="false">IF('NISD RURAL TOP 5 REJECTION VILL'!C26="","",'NISD RURAL TOP 5 REJECTION VILL'!C26)</f>
        <v>VAZHUTHALAMPATTU</v>
      </c>
      <c r="C67" s="75" t="n">
        <f aca="false">IF(ISNUMBER('NISD RURAL TOP 5 REJECTION VILL'!D26),'NISD RURAL TOP 5 REJECTION VILL'!D26,"")</f>
        <v>5</v>
      </c>
      <c r="D67" s="85" t="n">
        <f aca="false">IF(ISNUMBER(C67),C67+(1000-23)/100000,-1)</f>
        <v>5.00977</v>
      </c>
      <c r="F67" s="83" t="str">
        <f aca="false">IF('NISD NATHAM TOP 5 REJECTION VIL'!B26&lt;&gt;"",'NISD NATHAM TOP 5 REJECTION VIL'!B26,F66)</f>
        <v>KURINJIPADI</v>
      </c>
      <c r="G67" s="83" t="str">
        <f aca="false">IF('NISD NATHAM TOP 5 REJECTION VIL'!C26="","",'NISD NATHAM TOP 5 REJECTION VIL'!C26)</f>
        <v>Kundiyamallur North</v>
      </c>
      <c r="H67" s="75" t="n">
        <f aca="false">IF(ISNUMBER('NISD NATHAM TOP 5 REJECTION VIL'!D26),'NISD NATHAM TOP 5 REJECTION VIL'!D26,"")</f>
        <v>2</v>
      </c>
      <c r="I67" s="85" t="n">
        <f aca="false">IF(ISNUMBER(H67),H67+(1000-23)/100000,-1)</f>
        <v>2.00977</v>
      </c>
      <c r="K67" s="83" t="str">
        <f aca="false">IF('ISD RURAL TOP 5VILLAGES'!B26&lt;&gt;"",'ISD RURAL TOP 5VILLAGES'!B26,K66)</f>
        <v>KURINJIPADI</v>
      </c>
      <c r="L67" s="83" t="str">
        <f aca="false">IF('ISD RURAL TOP 5VILLAGES'!C26="","",'ISD RURAL TOP 5VILLAGES'!C26)</f>
        <v>PARVATHIPURAM</v>
      </c>
      <c r="M67" s="75" t="n">
        <f aca="false">IF(ISNUMBER('ISD RURAL TOP 5VILLAGES'!D26),'ISD RURAL TOP 5VILLAGES'!D26,"")</f>
        <v>6</v>
      </c>
      <c r="N67" s="85" t="n">
        <f aca="false">IF(ISNUMBER(M67),M67+(1000-23)/100000,-1)</f>
        <v>6.00977</v>
      </c>
      <c r="P67" s="83" t="str">
        <f aca="false">IF('ISD NATHAM TOP 5 VILLAGES'!B26&lt;&gt;"",'ISD NATHAM TOP 5 VILLAGES'!B26,P66)</f>
        <v>KURINJIPADI</v>
      </c>
      <c r="Q67" s="83" t="str">
        <f aca="false">IF('ISD NATHAM TOP 5 VILLAGES'!C26="","",'ISD NATHAM TOP 5 VILLAGES'!C26)</f>
        <v>AMBALAVANAPETTAI</v>
      </c>
      <c r="R67" s="75" t="n">
        <f aca="false">IF(ISNUMBER('ISD NATHAM TOP 5 VILLAGES'!D26),'ISD NATHAM TOP 5 VILLAGES'!D26,"")</f>
        <v>2</v>
      </c>
      <c r="S67" s="85" t="n">
        <f aca="false">IF(ISNUMBER(R67),R67+(1000-23)/100000,-1)</f>
        <v>2.00977</v>
      </c>
      <c r="U67" s="69" t="str">
        <f aca="false">CHOOSE(Dashboard!$T$24,A67,F67,K67,P67)</f>
        <v>KURINJIPADI</v>
      </c>
      <c r="V67" s="69" t="str">
        <f aca="false">CHOOSE(Dashboard!$T$24,B67,G67,L67,Q67)</f>
        <v>VAZHUTHALAMPATTU</v>
      </c>
      <c r="W67" s="23" t="n">
        <f aca="false">CHOOSE(Dashboard!$T$24,C67,H67,M67,R67)</f>
        <v>5</v>
      </c>
      <c r="X67" s="85" t="n">
        <f aca="false">CHOOSE(Dashboard!$T$24,D67,I67,N67,S67)</f>
        <v>5.00977</v>
      </c>
    </row>
    <row r="68" customFormat="false" ht="23.85" hidden="false" customHeight="false" outlineLevel="0" collapsed="false">
      <c r="A68" s="83" t="str">
        <f aca="false">IF('NISD RURAL TOP 5 REJECTION VILL'!B27&lt;&gt;"",'NISD RURAL TOP 5 REJECTION VILL'!B27,A67)</f>
        <v>KURINJIPADI</v>
      </c>
      <c r="B68" s="83" t="str">
        <f aca="false">IF('NISD RURAL TOP 5 REJECTION VILL'!C27="","",'NISD RURAL TOP 5 REJECTION VILL'!C27)</f>
        <v>PEIYAKKANATHAM</v>
      </c>
      <c r="C68" s="75" t="n">
        <f aca="false">IF(ISNUMBER('NISD RURAL TOP 5 REJECTION VILL'!D27),'NISD RURAL TOP 5 REJECTION VILL'!D27,"")</f>
        <v>4</v>
      </c>
      <c r="D68" s="85" t="n">
        <f aca="false">IF(ISNUMBER(C68),C68+(1000-24)/100000,-1)</f>
        <v>4.00976</v>
      </c>
      <c r="F68" s="83" t="str">
        <f aca="false">IF('NISD NATHAM TOP 5 REJECTION VIL'!B27&lt;&gt;"",'NISD NATHAM TOP 5 REJECTION VIL'!B27,F67)</f>
        <v>KURINJIPADI</v>
      </c>
      <c r="G68" s="83" t="str">
        <f aca="false">IF('NISD NATHAM TOP 5 REJECTION VIL'!C27="","",'NISD NATHAM TOP 5 REJECTION VIL'!C27)</f>
        <v>AdurAgram</v>
      </c>
      <c r="H68" s="75" t="n">
        <f aca="false">IF(ISNUMBER('NISD NATHAM TOP 5 REJECTION VIL'!D27),'NISD NATHAM TOP 5 REJECTION VIL'!D27,"")</f>
        <v>2</v>
      </c>
      <c r="I68" s="85" t="n">
        <f aca="false">IF(ISNUMBER(H68),H68+(1000-24)/100000,-1)</f>
        <v>2.00976</v>
      </c>
      <c r="K68" s="83" t="str">
        <f aca="false">IF('ISD RURAL TOP 5VILLAGES'!B27&lt;&gt;"",'ISD RURAL TOP 5VILLAGES'!B27,K67)</f>
        <v>KURINJIPADI</v>
      </c>
      <c r="L68" s="83" t="str">
        <f aca="false">IF('ISD RURAL TOP 5VILLAGES'!C27="","",'ISD RURAL TOP 5VILLAGES'!C27)</f>
        <v>KANNADY</v>
      </c>
      <c r="M68" s="75" t="n">
        <f aca="false">IF(ISNUMBER('ISD RURAL TOP 5VILLAGES'!D27),'ISD RURAL TOP 5VILLAGES'!D27,"")</f>
        <v>6</v>
      </c>
      <c r="N68" s="85" t="n">
        <f aca="false">IF(ISNUMBER(M68),M68+(1000-24)/100000,-1)</f>
        <v>6.00976</v>
      </c>
      <c r="P68" s="83" t="str">
        <f aca="false">IF('ISD NATHAM TOP 5 VILLAGES'!B27&lt;&gt;"",'ISD NATHAM TOP 5 VILLAGES'!B27,P67)</f>
        <v>KURINJIPADI</v>
      </c>
      <c r="Q68" s="83" t="str">
        <f aca="false">IF('ISD NATHAM TOP 5 VILLAGES'!C27="","",'ISD NATHAM TOP 5 VILLAGES'!C27)</f>
        <v>KEEZHUR</v>
      </c>
      <c r="R68" s="75" t="n">
        <f aca="false">IF(ISNUMBER('ISD NATHAM TOP 5 VILLAGES'!D27),'ISD NATHAM TOP 5 VILLAGES'!D27,"")</f>
        <v>2</v>
      </c>
      <c r="S68" s="85" t="n">
        <f aca="false">IF(ISNUMBER(R68),R68+(1000-24)/100000,-1)</f>
        <v>2.00976</v>
      </c>
      <c r="U68" s="69" t="str">
        <f aca="false">CHOOSE(Dashboard!$T$24,A68,F68,K68,P68)</f>
        <v>KURINJIPADI</v>
      </c>
      <c r="V68" s="69" t="str">
        <f aca="false">CHOOSE(Dashboard!$T$24,B68,G68,L68,Q68)</f>
        <v>PEIYAKKANATHAM</v>
      </c>
      <c r="W68" s="23" t="n">
        <f aca="false">CHOOSE(Dashboard!$T$24,C68,H68,M68,R68)</f>
        <v>4</v>
      </c>
      <c r="X68" s="85" t="n">
        <f aca="false">CHOOSE(Dashboard!$T$24,D68,I68,N68,S68)</f>
        <v>4.00976</v>
      </c>
    </row>
    <row r="69" customFormat="false" ht="23.85" hidden="false" customHeight="false" outlineLevel="0" collapsed="false">
      <c r="A69" s="83" t="str">
        <f aca="false">IF('NISD RURAL TOP 5 REJECTION VILL'!F3&lt;&gt;"",'NISD RURAL TOP 5 REJECTION VILL'!F3,"")</f>
        <v>VRIDHACHALAM</v>
      </c>
      <c r="B69" s="83" t="str">
        <f aca="false">IF('NISD RURAL TOP 5 REJECTION VILL'!G3="","",'NISD RURAL TOP 5 REJECTION VILL'!G3)</f>
        <v>ERUMANR</v>
      </c>
      <c r="C69" s="75" t="n">
        <f aca="false">IF(ISNUMBER('NISD RURAL TOP 5 REJECTION VILL'!H3),'NISD RURAL TOP 5 REJECTION VILL'!H3,"")</f>
        <v>6</v>
      </c>
      <c r="D69" s="85" t="n">
        <f aca="false">IF(ISNUMBER(C69),C69+(1000-25)/100000,-1)</f>
        <v>6.00975</v>
      </c>
      <c r="F69" s="83" t="str">
        <f aca="false">IF('NISD NATHAM TOP 5 REJECTION VIL'!F3&lt;&gt;"",'NISD NATHAM TOP 5 REJECTION VIL'!F3,"")</f>
        <v>VRIDHACHALAM</v>
      </c>
      <c r="G69" s="83" t="str">
        <f aca="false">IF('NISD NATHAM TOP 5 REJECTION VIL'!G3="","",'NISD NATHAM TOP 5 REJECTION VIL'!G3)</f>
        <v>Puliyur</v>
      </c>
      <c r="H69" s="75" t="n">
        <f aca="false">IF(ISNUMBER('NISD NATHAM TOP 5 REJECTION VIL'!H3),'NISD NATHAM TOP 5 REJECTION VIL'!H3,"")</f>
        <v>4</v>
      </c>
      <c r="I69" s="85" t="n">
        <f aca="false">IF(ISNUMBER(H69),H69+(1000-25)/100000,-1)</f>
        <v>4.00975</v>
      </c>
      <c r="K69" s="83" t="str">
        <f aca="false">IF('ISD RURAL TOP 5VILLAGES'!F3&lt;&gt;"",'ISD RURAL TOP 5VILLAGES'!F3,"")</f>
        <v>VRIDHACHALAM</v>
      </c>
      <c r="L69" s="83" t="str">
        <f aca="false">IF('ISD RURAL TOP 5VILLAGES'!G3="","",'ISD RURAL TOP 5VILLAGES'!G3)</f>
        <v>KAMMAPURAM</v>
      </c>
      <c r="M69" s="75" t="n">
        <f aca="false">IF(ISNUMBER('ISD RURAL TOP 5VILLAGES'!H3),'ISD RURAL TOP 5VILLAGES'!H3,"")</f>
        <v>6</v>
      </c>
      <c r="N69" s="85" t="n">
        <f aca="false">IF(ISNUMBER(M69),M69+(1000-25)/100000,-1)</f>
        <v>6.00975</v>
      </c>
      <c r="P69" s="83" t="str">
        <f aca="false">IF('ISD NATHAM TOP 5 VILLAGES'!F3&lt;&gt;"",'ISD NATHAM TOP 5 VILLAGES'!F3,"")</f>
        <v>VRIDHACHALAM</v>
      </c>
      <c r="Q69" s="83" t="str">
        <f aca="false">IF('ISD NATHAM TOP 5 VILLAGES'!G3="","",'ISD NATHAM TOP 5 VILLAGES'!G3)</f>
        <v>UTHANGAL</v>
      </c>
      <c r="R69" s="75" t="n">
        <f aca="false">IF(ISNUMBER('ISD NATHAM TOP 5 VILLAGES'!H3),'ISD NATHAM TOP 5 VILLAGES'!H3,"")</f>
        <v>4</v>
      </c>
      <c r="S69" s="85" t="n">
        <f aca="false">IF(ISNUMBER(R69),R69+(1000-25)/100000,-1)</f>
        <v>4.00975</v>
      </c>
      <c r="U69" s="69" t="str">
        <f aca="false">CHOOSE(Dashboard!$T$24,A69,F69,K69,P69)</f>
        <v>VRIDHACHALAM</v>
      </c>
      <c r="V69" s="69" t="str">
        <f aca="false">CHOOSE(Dashboard!$T$24,B69,G69,L69,Q69)</f>
        <v>ERUMANR</v>
      </c>
      <c r="W69" s="23" t="n">
        <f aca="false">CHOOSE(Dashboard!$T$24,C69,H69,M69,R69)</f>
        <v>6</v>
      </c>
      <c r="X69" s="85" t="n">
        <f aca="false">CHOOSE(Dashboard!$T$24,D69,I69,N69,S69)</f>
        <v>6.00975</v>
      </c>
    </row>
    <row r="70" customFormat="false" ht="23.85" hidden="false" customHeight="false" outlineLevel="0" collapsed="false">
      <c r="A70" s="83" t="str">
        <f aca="false">IF('NISD RURAL TOP 5 REJECTION VILL'!F4&lt;&gt;"",'NISD RURAL TOP 5 REJECTION VILL'!F4,A69)</f>
        <v>VRIDHACHALAM</v>
      </c>
      <c r="B70" s="83" t="str">
        <f aca="false">IF('NISD RURAL TOP 5 REJECTION VILL'!G4="","",'NISD RURAL TOP 5 REJECTION VILL'!G4)</f>
        <v>MUTHANAI</v>
      </c>
      <c r="C70" s="75" t="n">
        <f aca="false">IF(ISNUMBER('NISD RURAL TOP 5 REJECTION VILL'!H4),'NISD RURAL TOP 5 REJECTION VILL'!H4,"")</f>
        <v>6</v>
      </c>
      <c r="D70" s="85" t="n">
        <f aca="false">IF(ISNUMBER(C70),C70+(1000-26)/100000,-1)</f>
        <v>6.00974</v>
      </c>
      <c r="F70" s="83" t="str">
        <f aca="false">IF('NISD NATHAM TOP 5 REJECTION VIL'!F4&lt;&gt;"",'NISD NATHAM TOP 5 REJECTION VIL'!F4,F69)</f>
        <v>VRIDHACHALAM</v>
      </c>
      <c r="G70" s="83" t="str">
        <f aca="false">IF('NISD NATHAM TOP 5 REJECTION VIL'!G4="","",'NISD NATHAM TOP 5 REJECTION VIL'!G4)</f>
        <v>Karuveppilankurichi</v>
      </c>
      <c r="H70" s="75" t="n">
        <f aca="false">IF(ISNUMBER('NISD NATHAM TOP 5 REJECTION VIL'!H4),'NISD NATHAM TOP 5 REJECTION VIL'!H4,"")</f>
        <v>3</v>
      </c>
      <c r="I70" s="85" t="n">
        <f aca="false">IF(ISNUMBER(H70),H70+(1000-26)/100000,-1)</f>
        <v>3.00974</v>
      </c>
      <c r="K70" s="83" t="str">
        <f aca="false">IF('ISD RURAL TOP 5VILLAGES'!F4&lt;&gt;"",'ISD RURAL TOP 5VILLAGES'!F4,K69)</f>
        <v>VRIDHACHALAM</v>
      </c>
      <c r="L70" s="83" t="str">
        <f aca="false">IF('ISD RURAL TOP 5VILLAGES'!G4="","",'ISD RURAL TOP 5VILLAGES'!G4)</f>
        <v>KARKUDAL</v>
      </c>
      <c r="M70" s="75" t="n">
        <f aca="false">IF(ISNUMBER('ISD RURAL TOP 5VILLAGES'!H4),'ISD RURAL TOP 5VILLAGES'!H4,"")</f>
        <v>4</v>
      </c>
      <c r="N70" s="85" t="n">
        <f aca="false">IF(ISNUMBER(M70),M70+(1000-26)/100000,-1)</f>
        <v>4.00974</v>
      </c>
      <c r="P70" s="83" t="str">
        <f aca="false">IF('ISD NATHAM TOP 5 VILLAGES'!F4&lt;&gt;"",'ISD NATHAM TOP 5 VILLAGES'!F4,P69)</f>
        <v>VRIDHACHALAM</v>
      </c>
      <c r="Q70" s="83" t="str">
        <f aca="false">IF('ISD NATHAM TOP 5 VILLAGES'!G4="","",'ISD NATHAM TOP 5 VILLAGES'!G4)</f>
        <v>MANGALAM KO</v>
      </c>
      <c r="R70" s="75" t="n">
        <f aca="false">IF(ISNUMBER('ISD NATHAM TOP 5 VILLAGES'!H4),'ISD NATHAM TOP 5 VILLAGES'!H4,"")</f>
        <v>3</v>
      </c>
      <c r="S70" s="85" t="n">
        <f aca="false">IF(ISNUMBER(R70),R70+(1000-26)/100000,-1)</f>
        <v>3.00974</v>
      </c>
      <c r="U70" s="69" t="str">
        <f aca="false">CHOOSE(Dashboard!$T$24,A70,F70,K70,P70)</f>
        <v>VRIDHACHALAM</v>
      </c>
      <c r="V70" s="69" t="str">
        <f aca="false">CHOOSE(Dashboard!$T$24,B70,G70,L70,Q70)</f>
        <v>MUTHANAI</v>
      </c>
      <c r="W70" s="23" t="n">
        <f aca="false">CHOOSE(Dashboard!$T$24,C70,H70,M70,R70)</f>
        <v>6</v>
      </c>
      <c r="X70" s="85" t="n">
        <f aca="false">CHOOSE(Dashboard!$T$24,D70,I70,N70,S70)</f>
        <v>6.00974</v>
      </c>
    </row>
    <row r="71" customFormat="false" ht="23.85" hidden="false" customHeight="false" outlineLevel="0" collapsed="false">
      <c r="A71" s="83" t="str">
        <f aca="false">IF('NISD RURAL TOP 5 REJECTION VILL'!F5&lt;&gt;"",'NISD RURAL TOP 5 REJECTION VILL'!F5,A70)</f>
        <v>VRIDHACHALAM</v>
      </c>
      <c r="B71" s="83" t="str">
        <f aca="false">IF('NISD RURAL TOP 5 REJECTION VILL'!G5="","",'NISD RURAL TOP 5 REJECTION VILL'!G5)</f>
        <v>PERIYAVADAVADI</v>
      </c>
      <c r="C71" s="75" t="n">
        <f aca="false">IF(ISNUMBER('NISD RURAL TOP 5 REJECTION VILL'!H5),'NISD RURAL TOP 5 REJECTION VILL'!H5,"")</f>
        <v>5</v>
      </c>
      <c r="D71" s="85" t="n">
        <f aca="false">IF(ISNUMBER(C71),C71+(1000-27)/100000,-1)</f>
        <v>5.00973</v>
      </c>
      <c r="F71" s="83" t="str">
        <f aca="false">IF('NISD NATHAM TOP 5 REJECTION VIL'!F5&lt;&gt;"",'NISD NATHAM TOP 5 REJECTION VIL'!F5,F70)</f>
        <v>VRIDHACHALAM</v>
      </c>
      <c r="G71" s="83" t="str">
        <f aca="false">IF('NISD NATHAM TOP 5 REJECTION VIL'!G5="","",'NISD NATHAM TOP 5 REJECTION VIL'!G5)</f>
        <v>Komangalam</v>
      </c>
      <c r="H71" s="75" t="n">
        <f aca="false">IF(ISNUMBER('NISD NATHAM TOP 5 REJECTION VIL'!H5),'NISD NATHAM TOP 5 REJECTION VIL'!H5,"")</f>
        <v>3</v>
      </c>
      <c r="I71" s="85" t="n">
        <f aca="false">IF(ISNUMBER(H71),H71+(1000-27)/100000,-1)</f>
        <v>3.00973</v>
      </c>
      <c r="K71" s="83" t="str">
        <f aca="false">IF('ISD RURAL TOP 5VILLAGES'!F5&lt;&gt;"",'ISD RURAL TOP 5VILLAGES'!F5,K70)</f>
        <v>VRIDHACHALAM</v>
      </c>
      <c r="L71" s="83" t="str">
        <f aca="false">IF('ISD RURAL TOP 5VILLAGES'!G5="","",'ISD RURAL TOP 5VILLAGES'!G5)</f>
        <v>EDAIYUR</v>
      </c>
      <c r="M71" s="75" t="n">
        <f aca="false">IF(ISNUMBER('ISD RURAL TOP 5VILLAGES'!H5),'ISD RURAL TOP 5VILLAGES'!H5,"")</f>
        <v>4</v>
      </c>
      <c r="N71" s="85" t="n">
        <f aca="false">IF(ISNUMBER(M71),M71+(1000-27)/100000,-1)</f>
        <v>4.00973</v>
      </c>
      <c r="P71" s="83" t="str">
        <f aca="false">IF('ISD NATHAM TOP 5 VILLAGES'!F5&lt;&gt;"",'ISD NATHAM TOP 5 VILLAGES'!F5,P70)</f>
        <v>VRIDHACHALAM</v>
      </c>
      <c r="Q71" s="83" t="str">
        <f aca="false">IF('ISD NATHAM TOP 5 VILLAGES'!G5="","",'ISD NATHAM TOP 5 VILLAGES'!G5)</f>
        <v>M.PARUR</v>
      </c>
      <c r="R71" s="75" t="n">
        <f aca="false">IF(ISNUMBER('ISD NATHAM TOP 5 VILLAGES'!H5),'ISD NATHAM TOP 5 VILLAGES'!H5,"")</f>
        <v>3</v>
      </c>
      <c r="S71" s="85" t="n">
        <f aca="false">IF(ISNUMBER(R71),R71+(1000-27)/100000,-1)</f>
        <v>3.00973</v>
      </c>
      <c r="U71" s="69" t="str">
        <f aca="false">CHOOSE(Dashboard!$T$24,A71,F71,K71,P71)</f>
        <v>VRIDHACHALAM</v>
      </c>
      <c r="V71" s="69" t="str">
        <f aca="false">CHOOSE(Dashboard!$T$24,B71,G71,L71,Q71)</f>
        <v>PERIYAVADAVADI</v>
      </c>
      <c r="W71" s="23" t="n">
        <f aca="false">CHOOSE(Dashboard!$T$24,C71,H71,M71,R71)</f>
        <v>5</v>
      </c>
      <c r="X71" s="85" t="n">
        <f aca="false">CHOOSE(Dashboard!$T$24,D71,I71,N71,S71)</f>
        <v>5.00973</v>
      </c>
    </row>
    <row r="72" customFormat="false" ht="23.85" hidden="false" customHeight="false" outlineLevel="0" collapsed="false">
      <c r="A72" s="83" t="str">
        <f aca="false">IF('NISD RURAL TOP 5 REJECTION VILL'!F6&lt;&gt;"",'NISD RURAL TOP 5 REJECTION VILL'!F6,A71)</f>
        <v>VRIDHACHALAM</v>
      </c>
      <c r="B72" s="83" t="str">
        <f aca="false">IF('NISD RURAL TOP 5 REJECTION VILL'!G6="","",'NISD RURAL TOP 5 REJECTION VILL'!G6)</f>
        <v>AMMERI</v>
      </c>
      <c r="C72" s="75" t="n">
        <f aca="false">IF(ISNUMBER('NISD RURAL TOP 5 REJECTION VILL'!H6),'NISD RURAL TOP 5 REJECTION VILL'!H6,"")</f>
        <v>4</v>
      </c>
      <c r="D72" s="85" t="n">
        <f aca="false">IF(ISNUMBER(C72),C72+(1000-28)/100000,-1)</f>
        <v>4.00972</v>
      </c>
      <c r="F72" s="83" t="str">
        <f aca="false">IF('NISD NATHAM TOP 5 REJECTION VIL'!F6&lt;&gt;"",'NISD NATHAM TOP 5 REJECTION VIL'!F6,F71)</f>
        <v>VRIDHACHALAM</v>
      </c>
      <c r="G72" s="83" t="str">
        <f aca="false">IF('NISD NATHAM TOP 5 REJECTION VIL'!G6="","",'NISD NATHAM TOP 5 REJECTION VIL'!G6)</f>
        <v>Kottumunai</v>
      </c>
      <c r="H72" s="75" t="n">
        <f aca="false">IF(ISNUMBER('NISD NATHAM TOP 5 REJECTION VIL'!H6),'NISD NATHAM TOP 5 REJECTION VIL'!H6,"")</f>
        <v>3</v>
      </c>
      <c r="I72" s="85" t="n">
        <f aca="false">IF(ISNUMBER(H72),H72+(1000-28)/100000,-1)</f>
        <v>3.00972</v>
      </c>
      <c r="K72" s="83" t="str">
        <f aca="false">IF('ISD RURAL TOP 5VILLAGES'!F6&lt;&gt;"",'ISD RURAL TOP 5VILLAGES'!F6,K71)</f>
        <v>VRIDHACHALAM</v>
      </c>
      <c r="L72" s="83" t="str">
        <f aca="false">IF('ISD RURAL TOP 5VILLAGES'!G6="","",'ISD RURAL TOP 5VILLAGES'!G6)</f>
        <v>CHINNAPARUR</v>
      </c>
      <c r="M72" s="75" t="n">
        <f aca="false">IF(ISNUMBER('ISD RURAL TOP 5VILLAGES'!H6),'ISD RURAL TOP 5VILLAGES'!H6,"")</f>
        <v>3</v>
      </c>
      <c r="N72" s="85" t="n">
        <f aca="false">IF(ISNUMBER(M72),M72+(1000-28)/100000,-1)</f>
        <v>3.00972</v>
      </c>
      <c r="P72" s="83" t="str">
        <f aca="false">IF('ISD NATHAM TOP 5 VILLAGES'!F6&lt;&gt;"",'ISD NATHAM TOP 5 VILLAGES'!F6,P71)</f>
        <v>VRIDHACHALAM</v>
      </c>
      <c r="Q72" s="83" t="str">
        <f aca="false">IF('ISD NATHAM TOP 5 VILLAGES'!G6="","",'ISD NATHAM TOP 5 VILLAGES'!G6)</f>
        <v>KARKUDAL</v>
      </c>
      <c r="R72" s="75" t="n">
        <f aca="false">IF(ISNUMBER('ISD NATHAM TOP 5 VILLAGES'!H6),'ISD NATHAM TOP 5 VILLAGES'!H6,"")</f>
        <v>1</v>
      </c>
      <c r="S72" s="85" t="n">
        <f aca="false">IF(ISNUMBER(R72),R72+(1000-28)/100000,-1)</f>
        <v>1.00972</v>
      </c>
      <c r="U72" s="69" t="str">
        <f aca="false">CHOOSE(Dashboard!$T$24,A72,F72,K72,P72)</f>
        <v>VRIDHACHALAM</v>
      </c>
      <c r="V72" s="69" t="str">
        <f aca="false">CHOOSE(Dashboard!$T$24,B72,G72,L72,Q72)</f>
        <v>AMMERI</v>
      </c>
      <c r="W72" s="23" t="n">
        <f aca="false">CHOOSE(Dashboard!$T$24,C72,H72,M72,R72)</f>
        <v>4</v>
      </c>
      <c r="X72" s="85" t="n">
        <f aca="false">CHOOSE(Dashboard!$T$24,D72,I72,N72,S72)</f>
        <v>4.00972</v>
      </c>
    </row>
    <row r="73" customFormat="false" ht="23.85" hidden="false" customHeight="false" outlineLevel="0" collapsed="false">
      <c r="A73" s="83" t="str">
        <f aca="false">IF('NISD RURAL TOP 5 REJECTION VILL'!F7&lt;&gt;"",'NISD RURAL TOP 5 REJECTION VILL'!F7,A72)</f>
        <v>VRIDHACHALAM</v>
      </c>
      <c r="B73" s="83" t="str">
        <f aca="false">IF('NISD RURAL TOP 5 REJECTION VILL'!G7="","",'NISD RURAL TOP 5 REJECTION VILL'!G7)</f>
        <v>ARASAKUZHI</v>
      </c>
      <c r="C73" s="75" t="n">
        <f aca="false">IF(ISNUMBER('NISD RURAL TOP 5 REJECTION VILL'!H7),'NISD RURAL TOP 5 REJECTION VILL'!H7,"")</f>
        <v>4</v>
      </c>
      <c r="D73" s="85" t="n">
        <f aca="false">IF(ISNUMBER(C73),C73+(1000-29)/100000,-1)</f>
        <v>4.00971</v>
      </c>
      <c r="F73" s="83" t="str">
        <f aca="false">IF('NISD NATHAM TOP 5 REJECTION VIL'!F7&lt;&gt;"",'NISD NATHAM TOP 5 REJECTION VIL'!F7,F72)</f>
        <v>VRIDHACHALAM</v>
      </c>
      <c r="G73" s="83" t="str">
        <f aca="false">IF('NISD NATHAM TOP 5 REJECTION VIL'!G7="","",'NISD NATHAM TOP 5 REJECTION VIL'!G7)</f>
        <v>Mangalam Ko</v>
      </c>
      <c r="H73" s="75" t="n">
        <f aca="false">IF(ISNUMBER('NISD NATHAM TOP 5 REJECTION VIL'!H7),'NISD NATHAM TOP 5 REJECTION VIL'!H7,"")</f>
        <v>3</v>
      </c>
      <c r="I73" s="85" t="n">
        <f aca="false">IF(ISNUMBER(H73),H73+(1000-29)/100000,-1)</f>
        <v>3.00971</v>
      </c>
      <c r="K73" s="83" t="str">
        <f aca="false">IF('ISD RURAL TOP 5VILLAGES'!F7&lt;&gt;"",'ISD RURAL TOP 5VILLAGES'!F7,K72)</f>
        <v>VRIDHACHALAM</v>
      </c>
      <c r="L73" s="83" t="str">
        <f aca="false">IF('ISD RURAL TOP 5VILLAGES'!G7="","",'ISD RURAL TOP 5VILLAGES'!G7)</f>
        <v>M.AGARAM</v>
      </c>
      <c r="M73" s="75" t="n">
        <f aca="false">IF(ISNUMBER('ISD RURAL TOP 5VILLAGES'!H7),'ISD RURAL TOP 5VILLAGES'!H7,"")</f>
        <v>3</v>
      </c>
      <c r="N73" s="85" t="n">
        <f aca="false">IF(ISNUMBER(M73),M73+(1000-29)/100000,-1)</f>
        <v>3.00971</v>
      </c>
      <c r="P73" s="83" t="str">
        <f aca="false">IF('ISD NATHAM TOP 5 VILLAGES'!F7&lt;&gt;"",'ISD NATHAM TOP 5 VILLAGES'!F7,P72)</f>
        <v>VRIDHACHALAM</v>
      </c>
      <c r="Q73" s="83" t="str">
        <f aca="false">IF('ISD NATHAM TOP 5 VILLAGES'!G7="","",'ISD NATHAM TOP 5 VILLAGES'!G7)</f>
        <v>KOVILANUR</v>
      </c>
      <c r="R73" s="75" t="n">
        <f aca="false">IF(ISNUMBER('ISD NATHAM TOP 5 VILLAGES'!H7),'ISD NATHAM TOP 5 VILLAGES'!H7,"")</f>
        <v>1</v>
      </c>
      <c r="S73" s="85" t="n">
        <f aca="false">IF(ISNUMBER(R73),R73+(1000-29)/100000,-1)</f>
        <v>1.00971</v>
      </c>
      <c r="U73" s="69" t="str">
        <f aca="false">CHOOSE(Dashboard!$T$24,A73,F73,K73,P73)</f>
        <v>VRIDHACHALAM</v>
      </c>
      <c r="V73" s="69" t="str">
        <f aca="false">CHOOSE(Dashboard!$T$24,B73,G73,L73,Q73)</f>
        <v>ARASAKUZHI</v>
      </c>
      <c r="W73" s="23" t="n">
        <f aca="false">CHOOSE(Dashboard!$T$24,C73,H73,M73,R73)</f>
        <v>4</v>
      </c>
      <c r="X73" s="85" t="n">
        <f aca="false">CHOOSE(Dashboard!$T$24,D73,I73,N73,S73)</f>
        <v>4.00971</v>
      </c>
    </row>
    <row r="74" customFormat="false" ht="15" hidden="false" customHeight="false" outlineLevel="0" collapsed="false">
      <c r="A74" s="83" t="str">
        <f aca="false">IF('NISD RURAL TOP 5 REJECTION VILL'!F8&lt;&gt;"",'NISD RURAL TOP 5 REJECTION VILL'!F8,A73)</f>
        <v>VEPPUR</v>
      </c>
      <c r="B74" s="83" t="str">
        <f aca="false">IF('NISD RURAL TOP 5 REJECTION VILL'!G8="","",'NISD RURAL TOP 5 REJECTION VILL'!G8)</f>
        <v>IVATHUKUDI</v>
      </c>
      <c r="C74" s="75" t="n">
        <f aca="false">IF(ISNUMBER('NISD RURAL TOP 5 REJECTION VILL'!H8),'NISD RURAL TOP 5 REJECTION VILL'!H8,"")</f>
        <v>5</v>
      </c>
      <c r="D74" s="85" t="n">
        <f aca="false">IF(ISNUMBER(C74),C74+(1000-30)/100000,-1)</f>
        <v>5.0097</v>
      </c>
      <c r="F74" s="83" t="str">
        <f aca="false">IF('NISD NATHAM TOP 5 REJECTION VIL'!F8&lt;&gt;"",'NISD NATHAM TOP 5 REJECTION VIL'!F8,F73)</f>
        <v>VEPPUR</v>
      </c>
      <c r="G74" s="83" t="str">
        <f aca="false">IF('NISD NATHAM TOP 5 REJECTION VIL'!G8="","",'NISD NATHAM TOP 5 REJECTION VIL'!G8)</f>
        <v>Ja.Endhal</v>
      </c>
      <c r="H74" s="75" t="n">
        <f aca="false">IF(ISNUMBER('NISD NATHAM TOP 5 REJECTION VIL'!H8),'NISD NATHAM TOP 5 REJECTION VIL'!H8,"")</f>
        <v>4</v>
      </c>
      <c r="I74" s="85" t="n">
        <f aca="false">IF(ISNUMBER(H74),H74+(1000-30)/100000,-1)</f>
        <v>4.0097</v>
      </c>
      <c r="K74" s="83" t="str">
        <f aca="false">IF('ISD RURAL TOP 5VILLAGES'!F8&lt;&gt;"",'ISD RURAL TOP 5VILLAGES'!F8,K73)</f>
        <v>VEPPUR</v>
      </c>
      <c r="L74" s="83" t="str">
        <f aca="false">IF('ISD RURAL TOP 5VILLAGES'!G8="","",'ISD RURAL TOP 5VILLAGES'!G8)</f>
        <v>NAGAR</v>
      </c>
      <c r="M74" s="75" t="n">
        <f aca="false">IF(ISNUMBER('ISD RURAL TOP 5VILLAGES'!H8),'ISD RURAL TOP 5VILLAGES'!H8,"")</f>
        <v>5</v>
      </c>
      <c r="N74" s="85" t="n">
        <f aca="false">IF(ISNUMBER(M74),M74+(1000-30)/100000,-1)</f>
        <v>5.0097</v>
      </c>
      <c r="P74" s="83" t="str">
        <f aca="false">IF('ISD NATHAM TOP 5 VILLAGES'!F8&lt;&gt;"",'ISD NATHAM TOP 5 VILLAGES'!F8,P73)</f>
        <v>VEPPUR</v>
      </c>
      <c r="Q74" s="83" t="str">
        <f aca="false">IF('ISD NATHAM TOP 5 VILLAGES'!G8="","",'ISD NATHAM TOP 5 VILLAGES'!G8)</f>
        <v>ILANGIYANUR</v>
      </c>
      <c r="R74" s="75" t="n">
        <f aca="false">IF(ISNUMBER('ISD NATHAM TOP 5 VILLAGES'!H8),'ISD NATHAM TOP 5 VILLAGES'!H8,"")</f>
        <v>6</v>
      </c>
      <c r="S74" s="85" t="n">
        <f aca="false">IF(ISNUMBER(R74),R74+(1000-30)/100000,-1)</f>
        <v>6.0097</v>
      </c>
      <c r="U74" s="69" t="str">
        <f aca="false">CHOOSE(Dashboard!$T$24,A74,F74,K74,P74)</f>
        <v>VEPPUR</v>
      </c>
      <c r="V74" s="69" t="str">
        <f aca="false">CHOOSE(Dashboard!$T$24,B74,G74,L74,Q74)</f>
        <v>IVATHUKUDI</v>
      </c>
      <c r="W74" s="23" t="n">
        <f aca="false">CHOOSE(Dashboard!$T$24,C74,H74,M74,R74)</f>
        <v>5</v>
      </c>
      <c r="X74" s="85" t="n">
        <f aca="false">CHOOSE(Dashboard!$T$24,D74,I74,N74,S74)</f>
        <v>5.0097</v>
      </c>
    </row>
    <row r="75" customFormat="false" ht="23.85" hidden="false" customHeight="false" outlineLevel="0" collapsed="false">
      <c r="A75" s="83" t="str">
        <f aca="false">IF('NISD RURAL TOP 5 REJECTION VILL'!F9&lt;&gt;"",'NISD RURAL TOP 5 REJECTION VILL'!F9,A74)</f>
        <v>VEPPUR</v>
      </c>
      <c r="B75" s="83" t="str">
        <f aca="false">IF('NISD RURAL TOP 5 REJECTION VILL'!G9="","",'NISD RURAL TOP 5 REJECTION VILL'!G9)</f>
        <v>JA.ENDHAL</v>
      </c>
      <c r="C75" s="75" t="n">
        <f aca="false">IF(ISNUMBER('NISD RURAL TOP 5 REJECTION VILL'!H9),'NISD RURAL TOP 5 REJECTION VILL'!H9,"")</f>
        <v>4</v>
      </c>
      <c r="D75" s="85" t="n">
        <f aca="false">IF(ISNUMBER(C75),C75+(1000-31)/100000,-1)</f>
        <v>4.00969</v>
      </c>
      <c r="F75" s="83" t="str">
        <f aca="false">IF('NISD NATHAM TOP 5 REJECTION VIL'!F9&lt;&gt;"",'NISD NATHAM TOP 5 REJECTION VIL'!F9,F74)</f>
        <v>VEPPUR</v>
      </c>
      <c r="G75" s="83" t="str">
        <f aca="false">IF('NISD NATHAM TOP 5 REJECTION VIL'!G9="","",'NISD NATHAM TOP 5 REJECTION VIL'!G9)</f>
        <v>Sirupakkam</v>
      </c>
      <c r="H75" s="75" t="n">
        <f aca="false">IF(ISNUMBER('NISD NATHAM TOP 5 REJECTION VIL'!H9),'NISD NATHAM TOP 5 REJECTION VIL'!H9,"")</f>
        <v>4</v>
      </c>
      <c r="I75" s="85" t="n">
        <f aca="false">IF(ISNUMBER(H75),H75+(1000-31)/100000,-1)</f>
        <v>4.00969</v>
      </c>
      <c r="K75" s="83" t="str">
        <f aca="false">IF('ISD RURAL TOP 5VILLAGES'!F9&lt;&gt;"",'ISD RURAL TOP 5VILLAGES'!F9,K74)</f>
        <v>VEPPUR</v>
      </c>
      <c r="L75" s="83" t="str">
        <f aca="false">IF('ISD RURAL TOP 5VILLAGES'!G9="","",'ISD RURAL TOP 5VILLAGES'!G9)</f>
        <v>SEPPAKKAM</v>
      </c>
      <c r="M75" s="75" t="n">
        <f aca="false">IF(ISNUMBER('ISD RURAL TOP 5VILLAGES'!H9),'ISD RURAL TOP 5VILLAGES'!H9,"")</f>
        <v>4</v>
      </c>
      <c r="N75" s="85" t="n">
        <f aca="false">IF(ISNUMBER(M75),M75+(1000-31)/100000,-1)</f>
        <v>4.00969</v>
      </c>
      <c r="P75" s="83" t="str">
        <f aca="false">IF('ISD NATHAM TOP 5 VILLAGES'!F9&lt;&gt;"",'ISD NATHAM TOP 5 VILLAGES'!F9,P74)</f>
        <v>VEPPUR</v>
      </c>
      <c r="Q75" s="83" t="str">
        <f aca="false">IF('ISD NATHAM TOP 5 VILLAGES'!G9="","",'ISD NATHAM TOP 5 VILLAGES'!G9)</f>
        <v>KATTUMAYILUR</v>
      </c>
      <c r="R75" s="75" t="n">
        <f aca="false">IF(ISNUMBER('ISD NATHAM TOP 5 VILLAGES'!H9),'ISD NATHAM TOP 5 VILLAGES'!H9,"")</f>
        <v>2</v>
      </c>
      <c r="S75" s="85" t="n">
        <f aca="false">IF(ISNUMBER(R75),R75+(1000-31)/100000,-1)</f>
        <v>2.00969</v>
      </c>
      <c r="U75" s="69" t="str">
        <f aca="false">CHOOSE(Dashboard!$T$24,A75,F75,K75,P75)</f>
        <v>VEPPUR</v>
      </c>
      <c r="V75" s="69" t="str">
        <f aca="false">CHOOSE(Dashboard!$T$24,B75,G75,L75,Q75)</f>
        <v>JA.ENDHAL</v>
      </c>
      <c r="W75" s="23" t="n">
        <f aca="false">CHOOSE(Dashboard!$T$24,C75,H75,M75,R75)</f>
        <v>4</v>
      </c>
      <c r="X75" s="85" t="n">
        <f aca="false">CHOOSE(Dashboard!$T$24,D75,I75,N75,S75)</f>
        <v>4.00969</v>
      </c>
    </row>
    <row r="76" customFormat="false" ht="23.85" hidden="false" customHeight="false" outlineLevel="0" collapsed="false">
      <c r="A76" s="83" t="str">
        <f aca="false">IF('NISD RURAL TOP 5 REJECTION VILL'!F10&lt;&gt;"",'NISD RURAL TOP 5 REJECTION VILL'!F10,A75)</f>
        <v>VEPPUR</v>
      </c>
      <c r="B76" s="83" t="str">
        <f aca="false">IF('NISD RURAL TOP 5 REJECTION VILL'!G10="","",'NISD RURAL TOP 5 REJECTION VILL'!G10)</f>
        <v>K.KOTHANUR</v>
      </c>
      <c r="C76" s="75" t="n">
        <f aca="false">IF(ISNUMBER('NISD RURAL TOP 5 REJECTION VILL'!H10),'NISD RURAL TOP 5 REJECTION VILL'!H10,"")</f>
        <v>4</v>
      </c>
      <c r="D76" s="85" t="n">
        <f aca="false">IF(ISNUMBER(C76),C76+(1000-32)/100000,-1)</f>
        <v>4.00968</v>
      </c>
      <c r="F76" s="83" t="str">
        <f aca="false">IF('NISD NATHAM TOP 5 REJECTION VIL'!F10&lt;&gt;"",'NISD NATHAM TOP 5 REJECTION VIL'!F10,F75)</f>
        <v>VEPPUR</v>
      </c>
      <c r="G76" s="83" t="str">
        <f aca="false">IF('NISD NATHAM TOP 5 REJECTION VIL'!G10="","",'NISD NATHAM TOP 5 REJECTION VIL'!G10)</f>
        <v>Sirunesalur</v>
      </c>
      <c r="H76" s="75" t="n">
        <f aca="false">IF(ISNUMBER('NISD NATHAM TOP 5 REJECTION VIL'!H10),'NISD NATHAM TOP 5 REJECTION VIL'!H10,"")</f>
        <v>4</v>
      </c>
      <c r="I76" s="85" t="n">
        <f aca="false">IF(ISNUMBER(H76),H76+(1000-32)/100000,-1)</f>
        <v>4.00968</v>
      </c>
      <c r="K76" s="83" t="str">
        <f aca="false">IF('ISD RURAL TOP 5VILLAGES'!F10&lt;&gt;"",'ISD RURAL TOP 5VILLAGES'!F10,K75)</f>
        <v>VEPPUR</v>
      </c>
      <c r="L76" s="83" t="str">
        <f aca="false">IF('ISD RURAL TOP 5VILLAGES'!G10="","",'ISD RURAL TOP 5VILLAGES'!G10)</f>
        <v>SIRUNASALUR</v>
      </c>
      <c r="M76" s="75" t="n">
        <f aca="false">IF(ISNUMBER('ISD RURAL TOP 5VILLAGES'!H10),'ISD RURAL TOP 5VILLAGES'!H10,"")</f>
        <v>4</v>
      </c>
      <c r="N76" s="85" t="n">
        <f aca="false">IF(ISNUMBER(M76),M76+(1000-32)/100000,-1)</f>
        <v>4.00968</v>
      </c>
      <c r="P76" s="83" t="str">
        <f aca="false">IF('ISD NATHAM TOP 5 VILLAGES'!F10&lt;&gt;"",'ISD NATHAM TOP 5 VILLAGES'!F10,P75)</f>
        <v>VEPPUR</v>
      </c>
      <c r="Q76" s="83" t="str">
        <f aca="false">IF('ISD NATHAM TOP 5 VILLAGES'!G10="","",'ISD NATHAM TOP 5 VILLAGES'!G10)</f>
        <v>NAGAR</v>
      </c>
      <c r="R76" s="75" t="n">
        <f aca="false">IF(ISNUMBER('ISD NATHAM TOP 5 VILLAGES'!H10),'ISD NATHAM TOP 5 VILLAGES'!H10,"")</f>
        <v>2</v>
      </c>
      <c r="S76" s="85" t="n">
        <f aca="false">IF(ISNUMBER(R76),R76+(1000-32)/100000,-1)</f>
        <v>2.00968</v>
      </c>
      <c r="U76" s="69" t="str">
        <f aca="false">CHOOSE(Dashboard!$T$24,A76,F76,K76,P76)</f>
        <v>VEPPUR</v>
      </c>
      <c r="V76" s="69" t="str">
        <f aca="false">CHOOSE(Dashboard!$T$24,B76,G76,L76,Q76)</f>
        <v>K.KOTHANUR</v>
      </c>
      <c r="W76" s="23" t="n">
        <f aca="false">CHOOSE(Dashboard!$T$24,C76,H76,M76,R76)</f>
        <v>4</v>
      </c>
      <c r="X76" s="85" t="n">
        <f aca="false">CHOOSE(Dashboard!$T$24,D76,I76,N76,S76)</f>
        <v>4.00968</v>
      </c>
    </row>
    <row r="77" customFormat="false" ht="15" hidden="false" customHeight="false" outlineLevel="0" collapsed="false">
      <c r="A77" s="83" t="str">
        <f aca="false">IF('NISD RURAL TOP 5 REJECTION VILL'!F11&lt;&gt;"",'NISD RURAL TOP 5 REJECTION VILL'!F11,A76)</f>
        <v>VEPPUR</v>
      </c>
      <c r="B77" s="83" t="str">
        <f aca="false">IF('NISD RURAL TOP 5 REJECTION VILL'!G11="","",'NISD RURAL TOP 5 REJECTION VILL'!G11)</f>
        <v>THIRUPAYAR</v>
      </c>
      <c r="C77" s="75" t="n">
        <f aca="false">IF(ISNUMBER('NISD RURAL TOP 5 REJECTION VILL'!H11),'NISD RURAL TOP 5 REJECTION VILL'!H11,"")</f>
        <v>4</v>
      </c>
      <c r="D77" s="85" t="n">
        <f aca="false">IF(ISNUMBER(C77),C77+(1000-33)/100000,-1)</f>
        <v>4.00967</v>
      </c>
      <c r="F77" s="83" t="str">
        <f aca="false">IF('NISD NATHAM TOP 5 REJECTION VIL'!F11&lt;&gt;"",'NISD NATHAM TOP 5 REJECTION VIL'!F11,F76)</f>
        <v>VEPPUR</v>
      </c>
      <c r="G77" s="83" t="str">
        <f aca="false">IF('NISD NATHAM TOP 5 REJECTION VIL'!G11="","",'NISD NATHAM TOP 5 REJECTION VIL'!G11)</f>
        <v>Mangalur</v>
      </c>
      <c r="H77" s="75" t="n">
        <f aca="false">IF(ISNUMBER('NISD NATHAM TOP 5 REJECTION VIL'!H11),'NISD NATHAM TOP 5 REJECTION VIL'!H11,"")</f>
        <v>2</v>
      </c>
      <c r="I77" s="85" t="n">
        <f aca="false">IF(ISNUMBER(H77),H77+(1000-33)/100000,-1)</f>
        <v>2.00967</v>
      </c>
      <c r="K77" s="83" t="str">
        <f aca="false">IF('ISD RURAL TOP 5VILLAGES'!F11&lt;&gt;"",'ISD RURAL TOP 5VILLAGES'!F11,K76)</f>
        <v>VEPPUR</v>
      </c>
      <c r="L77" s="83" t="str">
        <f aca="false">IF('ISD RURAL TOP 5VILLAGES'!G11="","",'ISD RURAL TOP 5VILLAGES'!G11)</f>
        <v>PODAIYUR</v>
      </c>
      <c r="M77" s="75" t="n">
        <f aca="false">IF(ISNUMBER('ISD RURAL TOP 5VILLAGES'!H11),'ISD RURAL TOP 5VILLAGES'!H11,"")</f>
        <v>3</v>
      </c>
      <c r="N77" s="85" t="n">
        <f aca="false">IF(ISNUMBER(M77),M77+(1000-33)/100000,-1)</f>
        <v>3.00967</v>
      </c>
      <c r="P77" s="83" t="str">
        <f aca="false">IF('ISD NATHAM TOP 5 VILLAGES'!F11&lt;&gt;"",'ISD NATHAM TOP 5 VILLAGES'!F11,P76)</f>
        <v>VEPPUR</v>
      </c>
      <c r="Q77" s="83" t="str">
        <f aca="false">IF('ISD NATHAM TOP 5 VILLAGES'!G11="","",'ISD NATHAM TOP 5 VILLAGES'!G11)</f>
        <v>ATHIYUR</v>
      </c>
      <c r="R77" s="75" t="n">
        <f aca="false">IF(ISNUMBER('ISD NATHAM TOP 5 VILLAGES'!H11),'ISD NATHAM TOP 5 VILLAGES'!H11,"")</f>
        <v>2</v>
      </c>
      <c r="S77" s="85" t="n">
        <f aca="false">IF(ISNUMBER(R77),R77+(1000-33)/100000,-1)</f>
        <v>2.00967</v>
      </c>
      <c r="U77" s="69" t="str">
        <f aca="false">CHOOSE(Dashboard!$T$24,A77,F77,K77,P77)</f>
        <v>VEPPUR</v>
      </c>
      <c r="V77" s="69" t="str">
        <f aca="false">CHOOSE(Dashboard!$T$24,B77,G77,L77,Q77)</f>
        <v>THIRUPAYAR</v>
      </c>
      <c r="W77" s="23" t="n">
        <f aca="false">CHOOSE(Dashboard!$T$24,C77,H77,M77,R77)</f>
        <v>4</v>
      </c>
      <c r="X77" s="85" t="n">
        <f aca="false">CHOOSE(Dashboard!$T$24,D77,I77,N77,S77)</f>
        <v>4.00967</v>
      </c>
    </row>
    <row r="78" customFormat="false" ht="15" hidden="false" customHeight="false" outlineLevel="0" collapsed="false">
      <c r="A78" s="83" t="str">
        <f aca="false">IF('NISD RURAL TOP 5 REJECTION VILL'!F12&lt;&gt;"",'NISD RURAL TOP 5 REJECTION VILL'!F12,A77)</f>
        <v>VEPPUR</v>
      </c>
      <c r="B78" s="83" t="str">
        <f aca="false">IF('NISD RURAL TOP 5 REJECTION VILL'!G12="","",'NISD RURAL TOP 5 REJECTION VILL'!G12)</f>
        <v>ORANGUR</v>
      </c>
      <c r="C78" s="75" t="n">
        <f aca="false">IF(ISNUMBER('NISD RURAL TOP 5 REJECTION VILL'!H12),'NISD RURAL TOP 5 REJECTION VILL'!H12,"")</f>
        <v>3</v>
      </c>
      <c r="D78" s="85" t="n">
        <f aca="false">IF(ISNUMBER(C78),C78+(1000-34)/100000,-1)</f>
        <v>3.00966</v>
      </c>
      <c r="F78" s="83" t="str">
        <f aca="false">IF('NISD NATHAM TOP 5 REJECTION VIL'!F12&lt;&gt;"",'NISD NATHAM TOP 5 REJECTION VIL'!F12,F77)</f>
        <v>VEPPUR</v>
      </c>
      <c r="G78" s="83" t="str">
        <f aca="false">IF('NISD NATHAM TOP 5 REJECTION VIL'!G12="","",'NISD NATHAM TOP 5 REJECTION VIL'!G12)</f>
        <v>Nagar</v>
      </c>
      <c r="H78" s="75" t="n">
        <f aca="false">IF(ISNUMBER('NISD NATHAM TOP 5 REJECTION VIL'!H12),'NISD NATHAM TOP 5 REJECTION VIL'!H12,"")</f>
        <v>2</v>
      </c>
      <c r="I78" s="85" t="n">
        <f aca="false">IF(ISNUMBER(H78),H78+(1000-34)/100000,-1)</f>
        <v>2.00966</v>
      </c>
      <c r="K78" s="83" t="str">
        <f aca="false">IF('ISD RURAL TOP 5VILLAGES'!F12&lt;&gt;"",'ISD RURAL TOP 5VILLAGES'!F12,K77)</f>
        <v>VEPPUR</v>
      </c>
      <c r="L78" s="83" t="str">
        <f aca="false">IF('ISD RURAL TOP 5VILLAGES'!G12="","",'ISD RURAL TOP 5VILLAGES'!G12)</f>
        <v>IVADHUKUDI</v>
      </c>
      <c r="M78" s="75" t="n">
        <f aca="false">IF(ISNUMBER('ISD RURAL TOP 5VILLAGES'!H12),'ISD RURAL TOP 5VILLAGES'!H12,"")</f>
        <v>3</v>
      </c>
      <c r="N78" s="85" t="n">
        <f aca="false">IF(ISNUMBER(M78),M78+(1000-34)/100000,-1)</f>
        <v>3.00966</v>
      </c>
      <c r="P78" s="83" t="str">
        <f aca="false">IF('ISD NATHAM TOP 5 VILLAGES'!F12&lt;&gt;"",'ISD NATHAM TOP 5 VILLAGES'!F12,P77)</f>
        <v>VEPPUR</v>
      </c>
      <c r="Q78" s="83" t="str">
        <f aca="false">IF('ISD NATHAM TOP 5 VILLAGES'!G12="","",'ISD NATHAM TOP 5 VILLAGES'!G12)</f>
        <v>ORANGUR</v>
      </c>
      <c r="R78" s="75" t="n">
        <f aca="false">IF(ISNUMBER('ISD NATHAM TOP 5 VILLAGES'!H12),'ISD NATHAM TOP 5 VILLAGES'!H12,"")</f>
        <v>1</v>
      </c>
      <c r="S78" s="85" t="n">
        <f aca="false">IF(ISNUMBER(R78),R78+(1000-34)/100000,-1)</f>
        <v>1.00966</v>
      </c>
      <c r="U78" s="69" t="str">
        <f aca="false">CHOOSE(Dashboard!$T$24,A78,F78,K78,P78)</f>
        <v>VEPPUR</v>
      </c>
      <c r="V78" s="69" t="str">
        <f aca="false">CHOOSE(Dashboard!$T$24,B78,G78,L78,Q78)</f>
        <v>ORANGUR</v>
      </c>
      <c r="W78" s="23" t="n">
        <f aca="false">CHOOSE(Dashboard!$T$24,C78,H78,M78,R78)</f>
        <v>3</v>
      </c>
      <c r="X78" s="85" t="n">
        <f aca="false">CHOOSE(Dashboard!$T$24,D78,I78,N78,S78)</f>
        <v>3.00966</v>
      </c>
    </row>
    <row r="79" customFormat="false" ht="23.85" hidden="false" customHeight="false" outlineLevel="0" collapsed="false">
      <c r="A79" s="83" t="str">
        <f aca="false">IF('NISD RURAL TOP 5 REJECTION VILL'!F13&lt;&gt;"",'NISD RURAL TOP 5 REJECTION VILL'!F13,A78)</f>
        <v>TITAKUDI</v>
      </c>
      <c r="B79" s="83" t="str">
        <f aca="false">IF('NISD RURAL TOP 5 REJECTION VILL'!G13="","",'NISD RURAL TOP 5 REJECTION VILL'!G13)</f>
        <v>PENNADAM</v>
      </c>
      <c r="C79" s="75" t="n">
        <f aca="false">IF(ISNUMBER('NISD RURAL TOP 5 REJECTION VILL'!H13),'NISD RURAL TOP 5 REJECTION VILL'!H13,"")</f>
        <v>6</v>
      </c>
      <c r="D79" s="85" t="n">
        <f aca="false">IF(ISNUMBER(C79),C79+(1000-35)/100000,-1)</f>
        <v>6.00965</v>
      </c>
      <c r="F79" s="83" t="str">
        <f aca="false">IF('NISD NATHAM TOP 5 REJECTION VIL'!F13&lt;&gt;"",'NISD NATHAM TOP 5 REJECTION VIL'!F13,F78)</f>
        <v>TITAKUDI</v>
      </c>
      <c r="G79" s="83" t="str">
        <f aca="false">IF('NISD NATHAM TOP 5 REJECTION VIL'!G13="","",'NISD NATHAM TOP 5 REJECTION VIL'!G13)</f>
        <v>Venkarumbur</v>
      </c>
      <c r="H79" s="75" t="n">
        <f aca="false">IF(ISNUMBER('NISD NATHAM TOP 5 REJECTION VIL'!H13),'NISD NATHAM TOP 5 REJECTION VIL'!H13,"")</f>
        <v>3</v>
      </c>
      <c r="I79" s="85" t="n">
        <f aca="false">IF(ISNUMBER(H79),H79+(1000-35)/100000,-1)</f>
        <v>3.00965</v>
      </c>
      <c r="K79" s="83" t="str">
        <f aca="false">IF('ISD RURAL TOP 5VILLAGES'!F13&lt;&gt;"",'ISD RURAL TOP 5VILLAGES'!F13,K78)</f>
        <v>TITAKUDI</v>
      </c>
      <c r="L79" s="83" t="str">
        <f aca="false">IF('ISD RURAL TOP 5VILLAGES'!G13="","",'ISD RURAL TOP 5VILLAGES'!G13)</f>
        <v>THOZHUTUR</v>
      </c>
      <c r="M79" s="75" t="n">
        <f aca="false">IF(ISNUMBER('ISD RURAL TOP 5VILLAGES'!H13),'ISD RURAL TOP 5VILLAGES'!H13,"")</f>
        <v>5</v>
      </c>
      <c r="N79" s="85" t="n">
        <f aca="false">IF(ISNUMBER(M79),M79+(1000-35)/100000,-1)</f>
        <v>5.00965</v>
      </c>
      <c r="P79" s="83" t="str">
        <f aca="false">IF('ISD NATHAM TOP 5 VILLAGES'!F13&lt;&gt;"",'ISD NATHAM TOP 5 VILLAGES'!F13,P78)</f>
        <v>TITAKUDI</v>
      </c>
      <c r="Q79" s="83" t="str">
        <f aca="false">IF('ISD NATHAM TOP 5 VILLAGES'!G13="","",'ISD NATHAM TOP 5 VILLAGES'!G13)</f>
        <v>ELAMANGALAM</v>
      </c>
      <c r="R79" s="75" t="n">
        <f aca="false">IF(ISNUMBER('ISD NATHAM TOP 5 VILLAGES'!H13),'ISD NATHAM TOP 5 VILLAGES'!H13,"")</f>
        <v>2</v>
      </c>
      <c r="S79" s="85" t="n">
        <f aca="false">IF(ISNUMBER(R79),R79+(1000-35)/100000,-1)</f>
        <v>2.00965</v>
      </c>
      <c r="U79" s="69" t="str">
        <f aca="false">CHOOSE(Dashboard!$T$24,A79,F79,K79,P79)</f>
        <v>TITAKUDI</v>
      </c>
      <c r="V79" s="69" t="str">
        <f aca="false">CHOOSE(Dashboard!$T$24,B79,G79,L79,Q79)</f>
        <v>PENNADAM</v>
      </c>
      <c r="W79" s="23" t="n">
        <f aca="false">CHOOSE(Dashboard!$T$24,C79,H79,M79,R79)</f>
        <v>6</v>
      </c>
      <c r="X79" s="85" t="n">
        <f aca="false">CHOOSE(Dashboard!$T$24,D79,I79,N79,S79)</f>
        <v>6.00965</v>
      </c>
    </row>
    <row r="80" customFormat="false" ht="23.85" hidden="false" customHeight="false" outlineLevel="0" collapsed="false">
      <c r="A80" s="83" t="str">
        <f aca="false">IF('NISD RURAL TOP 5 REJECTION VILL'!F14&lt;&gt;"",'NISD RURAL TOP 5 REJECTION VILL'!F14,A79)</f>
        <v>TITAKUDI</v>
      </c>
      <c r="B80" s="83" t="str">
        <f aca="false">IF('NISD RURAL TOP 5 REJECTION VILL'!G14="","",'NISD RURAL TOP 5 REJECTION VILL'!G14)</f>
        <v>ERAIYUR</v>
      </c>
      <c r="C80" s="75" t="n">
        <f aca="false">IF(ISNUMBER('NISD RURAL TOP 5 REJECTION VILL'!H14),'NISD RURAL TOP 5 REJECTION VILL'!H14,"")</f>
        <v>5</v>
      </c>
      <c r="D80" s="85" t="n">
        <f aca="false">IF(ISNUMBER(C80),C80+(1000-36)/100000,-1)</f>
        <v>5.00964</v>
      </c>
      <c r="F80" s="83" t="str">
        <f aca="false">IF('NISD NATHAM TOP 5 REJECTION VIL'!F14&lt;&gt;"",'NISD NATHAM TOP 5 REJECTION VIL'!F14,F79)</f>
        <v>TITAKUDI</v>
      </c>
      <c r="G80" s="83" t="str">
        <f aca="false">IF('NISD NATHAM TOP 5 REJECTION VIL'!G14="","",'NISD NATHAM TOP 5 REJECTION VIL'!G14)</f>
        <v>Leckur</v>
      </c>
      <c r="H80" s="75" t="n">
        <f aca="false">IF(ISNUMBER('NISD NATHAM TOP 5 REJECTION VIL'!H14),'NISD NATHAM TOP 5 REJECTION VIL'!H14,"")</f>
        <v>2</v>
      </c>
      <c r="I80" s="85" t="n">
        <f aca="false">IF(ISNUMBER(H80),H80+(1000-36)/100000,-1)</f>
        <v>2.00964</v>
      </c>
      <c r="K80" s="83" t="str">
        <f aca="false">IF('ISD RURAL TOP 5VILLAGES'!F14&lt;&gt;"",'ISD RURAL TOP 5VILLAGES'!F14,K79)</f>
        <v>TITAKUDI</v>
      </c>
      <c r="L80" s="83" t="str">
        <f aca="false">IF('ISD RURAL TOP 5VILLAGES'!G14="","",'ISD RURAL TOP 5VILLAGES'!G14)</f>
        <v>MALIGAIKOTTAM</v>
      </c>
      <c r="M80" s="75" t="n">
        <f aca="false">IF(ISNUMBER('ISD RURAL TOP 5VILLAGES'!H14),'ISD RURAL TOP 5VILLAGES'!H14,"")</f>
        <v>3</v>
      </c>
      <c r="N80" s="85" t="n">
        <f aca="false">IF(ISNUMBER(M80),M80+(1000-36)/100000,-1)</f>
        <v>3.00964</v>
      </c>
      <c r="P80" s="83" t="str">
        <f aca="false">IF('ISD NATHAM TOP 5 VILLAGES'!F14&lt;&gt;"",'ISD NATHAM TOP 5 VILLAGES'!F14,P79)</f>
        <v>TITAKUDI</v>
      </c>
      <c r="Q80" s="83" t="str">
        <f aca="false">IF('ISD NATHAM TOP 5 VILLAGES'!G14="","",'ISD NATHAM TOP 5 VILLAGES'!G14)</f>
        <v>THOZHUTUR</v>
      </c>
      <c r="R80" s="75" t="n">
        <f aca="false">IF(ISNUMBER('ISD NATHAM TOP 5 VILLAGES'!H14),'ISD NATHAM TOP 5 VILLAGES'!H14,"")</f>
        <v>2</v>
      </c>
      <c r="S80" s="85" t="n">
        <f aca="false">IF(ISNUMBER(R80),R80+(1000-36)/100000,-1)</f>
        <v>2.00964</v>
      </c>
      <c r="U80" s="69" t="str">
        <f aca="false">CHOOSE(Dashboard!$T$24,A80,F80,K80,P80)</f>
        <v>TITAKUDI</v>
      </c>
      <c r="V80" s="69" t="str">
        <f aca="false">CHOOSE(Dashboard!$T$24,B80,G80,L80,Q80)</f>
        <v>ERAIYUR</v>
      </c>
      <c r="W80" s="23" t="n">
        <f aca="false">CHOOSE(Dashboard!$T$24,C80,H80,M80,R80)</f>
        <v>5</v>
      </c>
      <c r="X80" s="85" t="n">
        <f aca="false">CHOOSE(Dashboard!$T$24,D80,I80,N80,S80)</f>
        <v>5.00964</v>
      </c>
    </row>
    <row r="81" customFormat="false" ht="23.85" hidden="false" customHeight="false" outlineLevel="0" collapsed="false">
      <c r="A81" s="83" t="str">
        <f aca="false">IF('NISD RURAL TOP 5 REJECTION VILL'!F15&lt;&gt;"",'NISD RURAL TOP 5 REJECTION VILL'!F15,A80)</f>
        <v>TITAKUDI</v>
      </c>
      <c r="B81" s="83" t="str">
        <f aca="false">IF('NISD RURAL TOP 5 REJECTION VILL'!G15="","",'NISD RURAL TOP 5 REJECTION VILL'!G15)</f>
        <v>VENKARUMBUR</v>
      </c>
      <c r="C81" s="75" t="n">
        <f aca="false">IF(ISNUMBER('NISD RURAL TOP 5 REJECTION VILL'!H15),'NISD RURAL TOP 5 REJECTION VILL'!H15,"")</f>
        <v>5</v>
      </c>
      <c r="D81" s="85" t="n">
        <f aca="false">IF(ISNUMBER(C81),C81+(1000-37)/100000,-1)</f>
        <v>5.00963</v>
      </c>
      <c r="F81" s="83" t="str">
        <f aca="false">IF('NISD NATHAM TOP 5 REJECTION VIL'!F15&lt;&gt;"",'NISD NATHAM TOP 5 REJECTION VIL'!F15,F80)</f>
        <v>TITAKUDI</v>
      </c>
      <c r="G81" s="83" t="str">
        <f aca="false">IF('NISD NATHAM TOP 5 REJECTION VIL'!G15="","",'NISD NATHAM TOP 5 REJECTION VIL'!G15)</f>
        <v>Pennadam</v>
      </c>
      <c r="H81" s="75" t="n">
        <f aca="false">IF(ISNUMBER('NISD NATHAM TOP 5 REJECTION VIL'!H15),'NISD NATHAM TOP 5 REJECTION VIL'!H15,"")</f>
        <v>2</v>
      </c>
      <c r="I81" s="85" t="n">
        <f aca="false">IF(ISNUMBER(H81),H81+(1000-37)/100000,-1)</f>
        <v>2.00963</v>
      </c>
      <c r="K81" s="83" t="str">
        <f aca="false">IF('ISD RURAL TOP 5VILLAGES'!F15&lt;&gt;"",'ISD RURAL TOP 5VILLAGES'!F15,K80)</f>
        <v>TITAKUDI</v>
      </c>
      <c r="L81" s="83" t="str">
        <f aca="false">IF('ISD RURAL TOP 5VILLAGES'!G15="","",'ISD RURAL TOP 5VILLAGES'!G15)</f>
        <v>M.PUDAIYUR</v>
      </c>
      <c r="M81" s="75" t="n">
        <f aca="false">IF(ISNUMBER('ISD RURAL TOP 5VILLAGES'!H15),'ISD RURAL TOP 5VILLAGES'!H15,"")</f>
        <v>3</v>
      </c>
      <c r="N81" s="85" t="n">
        <f aca="false">IF(ISNUMBER(M81),M81+(1000-37)/100000,-1)</f>
        <v>3.00963</v>
      </c>
      <c r="P81" s="83" t="str">
        <f aca="false">IF('ISD NATHAM TOP 5 VILLAGES'!F15&lt;&gt;"",'ISD NATHAM TOP 5 VILLAGES'!F15,P80)</f>
        <v>TITAKUDI</v>
      </c>
      <c r="Q81" s="83" t="str">
        <f aca="false">IF('ISD NATHAM TOP 5 VILLAGES'!G15="","",'ISD NATHAM TOP 5 VILLAGES'!G15)</f>
        <v>KALLO0R</v>
      </c>
      <c r="R81" s="75" t="n">
        <f aca="false">IF(ISNUMBER('ISD NATHAM TOP 5 VILLAGES'!H15),'ISD NATHAM TOP 5 VILLAGES'!H15,"")</f>
        <v>1</v>
      </c>
      <c r="S81" s="85" t="n">
        <f aca="false">IF(ISNUMBER(R81),R81+(1000-37)/100000,-1)</f>
        <v>1.00963</v>
      </c>
      <c r="U81" s="69" t="str">
        <f aca="false">CHOOSE(Dashboard!$T$24,A81,F81,K81,P81)</f>
        <v>TITAKUDI</v>
      </c>
      <c r="V81" s="69" t="str">
        <f aca="false">CHOOSE(Dashboard!$T$24,B81,G81,L81,Q81)</f>
        <v>VENKARUMBUR</v>
      </c>
      <c r="W81" s="23" t="n">
        <f aca="false">CHOOSE(Dashboard!$T$24,C81,H81,M81,R81)</f>
        <v>5</v>
      </c>
      <c r="X81" s="85" t="n">
        <f aca="false">CHOOSE(Dashboard!$T$24,D81,I81,N81,S81)</f>
        <v>5.00963</v>
      </c>
    </row>
    <row r="82" customFormat="false" ht="23.85" hidden="false" customHeight="false" outlineLevel="0" collapsed="false">
      <c r="A82" s="83" t="str">
        <f aca="false">IF('NISD RURAL TOP 5 REJECTION VILL'!F16&lt;&gt;"",'NISD RURAL TOP 5 REJECTION VILL'!F16,A81)</f>
        <v>TITAKUDI</v>
      </c>
      <c r="B82" s="83" t="str">
        <f aca="false">IF('NISD RURAL TOP 5 REJECTION VILL'!G16="","",'NISD RURAL TOP 5 REJECTION VILL'!G16)</f>
        <v>IRULAMPATTU</v>
      </c>
      <c r="C82" s="75" t="n">
        <f aca="false">IF(ISNUMBER('NISD RURAL TOP 5 REJECTION VILL'!H16),'NISD RURAL TOP 5 REJECTION VILL'!H16,"")</f>
        <v>5</v>
      </c>
      <c r="D82" s="85" t="n">
        <f aca="false">IF(ISNUMBER(C82),C82+(1000-38)/100000,-1)</f>
        <v>5.00962</v>
      </c>
      <c r="F82" s="83" t="str">
        <f aca="false">IF('NISD NATHAM TOP 5 REJECTION VIL'!F16&lt;&gt;"",'NISD NATHAM TOP 5 REJECTION VIL'!F16,F81)</f>
        <v>TITAKUDI</v>
      </c>
      <c r="G82" s="83" t="str">
        <f aca="false">IF('NISD NATHAM TOP 5 REJECTION VIL'!G16="","",'NISD NATHAM TOP 5 REJECTION VIL'!G16)</f>
        <v>pattur</v>
      </c>
      <c r="H82" s="75" t="n">
        <f aca="false">IF(ISNUMBER('NISD NATHAM TOP 5 REJECTION VIL'!H16),'NISD NATHAM TOP 5 REJECTION VIL'!H16,"")</f>
        <v>1</v>
      </c>
      <c r="I82" s="85" t="n">
        <f aca="false">IF(ISNUMBER(H82),H82+(1000-38)/100000,-1)</f>
        <v>1.00962</v>
      </c>
      <c r="K82" s="83" t="str">
        <f aca="false">IF('ISD RURAL TOP 5VILLAGES'!F16&lt;&gt;"",'ISD RURAL TOP 5VILLAGES'!F16,K81)</f>
        <v>TITAKUDI</v>
      </c>
      <c r="L82" s="83" t="str">
        <f aca="false">IF('ISD RURAL TOP 5VILLAGES'!G16="","",'ISD RURAL TOP 5VILLAGES'!G16)</f>
        <v>RAMANATHAM</v>
      </c>
      <c r="M82" s="75" t="n">
        <f aca="false">IF(ISNUMBER('ISD RURAL TOP 5VILLAGES'!H16),'ISD RURAL TOP 5VILLAGES'!H16,"")</f>
        <v>3</v>
      </c>
      <c r="N82" s="85" t="n">
        <f aca="false">IF(ISNUMBER(M82),M82+(1000-38)/100000,-1)</f>
        <v>3.00962</v>
      </c>
      <c r="P82" s="83" t="str">
        <f aca="false">IF('ISD NATHAM TOP 5 VILLAGES'!F16&lt;&gt;"",'ISD NATHAM TOP 5 VILLAGES'!F16,P81)</f>
        <v>TITAKUDI</v>
      </c>
      <c r="Q82" s="83" t="str">
        <f aca="false">IF('ISD NATHAM TOP 5 VILLAGES'!G16="","",'ISD NATHAM TOP 5 VILLAGES'!G16)</f>
        <v>PENNADAM</v>
      </c>
      <c r="R82" s="75" t="n">
        <f aca="false">IF(ISNUMBER('ISD NATHAM TOP 5 VILLAGES'!H16),'ISD NATHAM TOP 5 VILLAGES'!H16,"")</f>
        <v>1</v>
      </c>
      <c r="S82" s="85" t="n">
        <f aca="false">IF(ISNUMBER(R82),R82+(1000-38)/100000,-1)</f>
        <v>1.00962</v>
      </c>
      <c r="U82" s="69" t="str">
        <f aca="false">CHOOSE(Dashboard!$T$24,A82,F82,K82,P82)</f>
        <v>TITAKUDI</v>
      </c>
      <c r="V82" s="69" t="str">
        <f aca="false">CHOOSE(Dashboard!$T$24,B82,G82,L82,Q82)</f>
        <v>IRULAMPATTU</v>
      </c>
      <c r="W82" s="23" t="n">
        <f aca="false">CHOOSE(Dashboard!$T$24,C82,H82,M82,R82)</f>
        <v>5</v>
      </c>
      <c r="X82" s="85" t="n">
        <f aca="false">CHOOSE(Dashboard!$T$24,D82,I82,N82,S82)</f>
        <v>5.00962</v>
      </c>
    </row>
    <row r="83" customFormat="false" ht="15" hidden="false" customHeight="false" outlineLevel="0" collapsed="false">
      <c r="A83" s="83" t="str">
        <f aca="false">IF('NISD RURAL TOP 5 REJECTION VILL'!F17&lt;&gt;"",'NISD RURAL TOP 5 REJECTION VILL'!F17,A82)</f>
        <v>TITAKUDI</v>
      </c>
      <c r="B83" s="83" t="str">
        <f aca="false">IF('NISD RURAL TOP 5 REJECTION VILL'!G17="","",'NISD RURAL TOP 5 REJECTION VILL'!G17)</f>
        <v>THOZHTHUR</v>
      </c>
      <c r="C83" s="75" t="n">
        <f aca="false">IF(ISNUMBER('NISD RURAL TOP 5 REJECTION VILL'!H17),'NISD RURAL TOP 5 REJECTION VILL'!H17,"")</f>
        <v>4</v>
      </c>
      <c r="D83" s="85" t="n">
        <f aca="false">IF(ISNUMBER(C83),C83+(1000-39)/100000,-1)</f>
        <v>4.00961</v>
      </c>
      <c r="F83" s="83" t="str">
        <f aca="false">IF('NISD NATHAM TOP 5 REJECTION VIL'!F17&lt;&gt;"",'NISD NATHAM TOP 5 REJECTION VIL'!F17,F82)</f>
        <v>TITAKUDI</v>
      </c>
      <c r="G83" s="83" t="str">
        <f aca="false">IF('NISD NATHAM TOP 5 REJECTION VIL'!G17="","",'NISD NATHAM TOP 5 REJECTION VIL'!G17)</f>
        <v>Pasar</v>
      </c>
      <c r="H83" s="75" t="n">
        <f aca="false">IF(ISNUMBER('NISD NATHAM TOP 5 REJECTION VIL'!H17),'NISD NATHAM TOP 5 REJECTION VIL'!H17,"")</f>
        <v>1</v>
      </c>
      <c r="I83" s="85" t="n">
        <f aca="false">IF(ISNUMBER(H83),H83+(1000-39)/100000,-1)</f>
        <v>1.00961</v>
      </c>
      <c r="K83" s="83" t="str">
        <f aca="false">IF('ISD RURAL TOP 5VILLAGES'!F17&lt;&gt;"",'ISD RURAL TOP 5VILLAGES'!F17,K82)</f>
        <v>TITAKUDI</v>
      </c>
      <c r="L83" s="83" t="str">
        <f aca="false">IF('ISD RURAL TOP 5VILLAGES'!G17="","",'ISD RURAL TOP 5VILLAGES'!G17)</f>
        <v>THACHUR</v>
      </c>
      <c r="M83" s="75" t="n">
        <f aca="false">IF(ISNUMBER('ISD RURAL TOP 5VILLAGES'!H17),'ISD RURAL TOP 5VILLAGES'!H17,"")</f>
        <v>2</v>
      </c>
      <c r="N83" s="85" t="n">
        <f aca="false">IF(ISNUMBER(M83),M83+(1000-39)/100000,-1)</f>
        <v>2.00961</v>
      </c>
      <c r="P83" s="83" t="str">
        <f aca="false">IF('ISD NATHAM TOP 5 VILLAGES'!F17&lt;&gt;"",'ISD NATHAM TOP 5 VILLAGES'!F17,P82)</f>
        <v>TITAKUDI</v>
      </c>
      <c r="Q83" s="83" t="str">
        <f aca="false">IF('ISD NATHAM TOP 5 VILLAGES'!G17="","",'ISD NATHAM TOP 5 VILLAGES'!G17)</f>
        <v>BELANDURAI</v>
      </c>
      <c r="R83" s="75" t="n">
        <f aca="false">IF(ISNUMBER('ISD NATHAM TOP 5 VILLAGES'!H17),'ISD NATHAM TOP 5 VILLAGES'!H17,"")</f>
        <v>1</v>
      </c>
      <c r="S83" s="85" t="n">
        <f aca="false">IF(ISNUMBER(R83),R83+(1000-39)/100000,-1)</f>
        <v>1.00961</v>
      </c>
      <c r="U83" s="69" t="str">
        <f aca="false">CHOOSE(Dashboard!$T$24,A83,F83,K83,P83)</f>
        <v>TITAKUDI</v>
      </c>
      <c r="V83" s="69" t="str">
        <f aca="false">CHOOSE(Dashboard!$T$24,B83,G83,L83,Q83)</f>
        <v>THOZHTHUR</v>
      </c>
      <c r="W83" s="23" t="n">
        <f aca="false">CHOOSE(Dashboard!$T$24,C83,H83,M83,R83)</f>
        <v>4</v>
      </c>
      <c r="X83" s="85" t="n">
        <f aca="false">CHOOSE(Dashboard!$T$24,D83,I83,N83,S83)</f>
        <v>4.00961</v>
      </c>
    </row>
    <row r="84" customFormat="false" ht="23.85" hidden="false" customHeight="false" outlineLevel="0" collapsed="false">
      <c r="A84" s="83" t="str">
        <f aca="false">IF('NISD RURAL TOP 5 REJECTION VILL'!F18&lt;&gt;"",'NISD RURAL TOP 5 REJECTION VILL'!F18,A83)</f>
        <v>KATTUMANNARKOIL</v>
      </c>
      <c r="B84" s="83" t="str">
        <f aca="false">IF('NISD RURAL TOP 5 REJECTION VILL'!G18="","",'NISD RURAL TOP 5 REJECTION VILL'!G18)</f>
        <v>KUNAVASAL</v>
      </c>
      <c r="C84" s="75" t="n">
        <f aca="false">IF(ISNUMBER('NISD RURAL TOP 5 REJECTION VILL'!H18),'NISD RURAL TOP 5 REJECTION VILL'!H18,"")</f>
        <v>4</v>
      </c>
      <c r="D84" s="85" t="n">
        <f aca="false">IF(ISNUMBER(C84),C84+(1000-40)/100000,-1)</f>
        <v>4.0096</v>
      </c>
      <c r="F84" s="83" t="str">
        <f aca="false">IF('NISD NATHAM TOP 5 REJECTION VIL'!F18&lt;&gt;"",'NISD NATHAM TOP 5 REJECTION VIL'!F18,F83)</f>
        <v>KATTUMANNARKOIL</v>
      </c>
      <c r="G84" s="83" t="str">
        <f aca="false">IF('NISD NATHAM TOP 5 REJECTION VIL'!G18="","",'NISD NATHAM TOP 5 REJECTION VIL'!G18)</f>
        <v>Lalpeetai</v>
      </c>
      <c r="H84" s="75" t="n">
        <f aca="false">IF(ISNUMBER('NISD NATHAM TOP 5 REJECTION VIL'!H18),'NISD NATHAM TOP 5 REJECTION VIL'!H18,"")</f>
        <v>3</v>
      </c>
      <c r="I84" s="85" t="n">
        <f aca="false">IF(ISNUMBER(H84),H84+(1000-40)/100000,-1)</f>
        <v>3.0096</v>
      </c>
      <c r="K84" s="83" t="str">
        <f aca="false">IF('ISD RURAL TOP 5VILLAGES'!F18&lt;&gt;"",'ISD RURAL TOP 5VILLAGES'!F18,K83)</f>
        <v>KATTUMANNARKOIL</v>
      </c>
      <c r="L84" s="83" t="str">
        <f aca="false">IF('ISD RURAL TOP 5VILLAGES'!G18="","",'ISD RURAL TOP 5VILLAGES'!G18)</f>
        <v>LALPETTAI</v>
      </c>
      <c r="M84" s="75" t="n">
        <f aca="false">IF(ISNUMBER('ISD RURAL TOP 5VILLAGES'!H18),'ISD RURAL TOP 5VILLAGES'!H18,"")</f>
        <v>4</v>
      </c>
      <c r="N84" s="85" t="n">
        <f aca="false">IF(ISNUMBER(M84),M84+(1000-40)/100000,-1)</f>
        <v>4.0096</v>
      </c>
      <c r="P84" s="83" t="str">
        <f aca="false">IF('ISD NATHAM TOP 5 VILLAGES'!F18&lt;&gt;"",'ISD NATHAM TOP 5 VILLAGES'!F18,P83)</f>
        <v>KATTUMANNARKOIL</v>
      </c>
      <c r="Q84" s="83" t="str">
        <f aca="false">IF('ISD NATHAM TOP 5 VILLAGES'!G18="","",'ISD NATHAM TOP 5 VILLAGES'!G18)</f>
        <v>MANNARKUDI</v>
      </c>
      <c r="R84" s="75" t="n">
        <f aca="false">IF(ISNUMBER('ISD NATHAM TOP 5 VILLAGES'!H18),'ISD NATHAM TOP 5 VILLAGES'!H18,"")</f>
        <v>3</v>
      </c>
      <c r="S84" s="85" t="n">
        <f aca="false">IF(ISNUMBER(R84),R84+(1000-40)/100000,-1)</f>
        <v>3.0096</v>
      </c>
      <c r="U84" s="69" t="str">
        <f aca="false">CHOOSE(Dashboard!$T$24,A84,F84,K84,P84)</f>
        <v>KATTUMANNARKOIL</v>
      </c>
      <c r="V84" s="69" t="str">
        <f aca="false">CHOOSE(Dashboard!$T$24,B84,G84,L84,Q84)</f>
        <v>KUNAVASAL</v>
      </c>
      <c r="W84" s="23" t="n">
        <f aca="false">CHOOSE(Dashboard!$T$24,C84,H84,M84,R84)</f>
        <v>4</v>
      </c>
      <c r="X84" s="85" t="n">
        <f aca="false">CHOOSE(Dashboard!$T$24,D84,I84,N84,S84)</f>
        <v>4.0096</v>
      </c>
    </row>
    <row r="85" customFormat="false" ht="23.85" hidden="false" customHeight="false" outlineLevel="0" collapsed="false">
      <c r="A85" s="83" t="str">
        <f aca="false">IF('NISD RURAL TOP 5 REJECTION VILL'!F19&lt;&gt;"",'NISD RURAL TOP 5 REJECTION VILL'!F19,A84)</f>
        <v>KATTUMANNARKOIL</v>
      </c>
      <c r="B85" s="83" t="str">
        <f aca="false">IF('NISD RURAL TOP 5 REJECTION VILL'!G19="","",'NISD RURAL TOP 5 REJECTION VILL'!G19)</f>
        <v>KARUNAKARANALLUR</v>
      </c>
      <c r="C85" s="75" t="n">
        <f aca="false">IF(ISNUMBER('NISD RURAL TOP 5 REJECTION VILL'!H19),'NISD RURAL TOP 5 REJECTION VILL'!H19,"")</f>
        <v>3</v>
      </c>
      <c r="D85" s="85" t="n">
        <f aca="false">IF(ISNUMBER(C85),C85+(1000-41)/100000,-1)</f>
        <v>3.00959</v>
      </c>
      <c r="F85" s="83" t="str">
        <f aca="false">IF('NISD NATHAM TOP 5 REJECTION VIL'!F19&lt;&gt;"",'NISD NATHAM TOP 5 REJECTION VIL'!F19,F84)</f>
        <v>KATTUMANNARKOIL</v>
      </c>
      <c r="G85" s="83" t="str">
        <f aca="false">IF('NISD NATHAM TOP 5 REJECTION VIL'!G19="","",'NISD NATHAM TOP 5 REJECTION VIL'!G19)</f>
        <v>Rayanallur</v>
      </c>
      <c r="H85" s="75" t="n">
        <f aca="false">IF(ISNUMBER('NISD NATHAM TOP 5 REJECTION VIL'!H19),'NISD NATHAM TOP 5 REJECTION VIL'!H19,"")</f>
        <v>2</v>
      </c>
      <c r="I85" s="85" t="n">
        <f aca="false">IF(ISNUMBER(H85),H85+(1000-41)/100000,-1)</f>
        <v>2.00959</v>
      </c>
      <c r="K85" s="83" t="str">
        <f aca="false">IF('ISD RURAL TOP 5VILLAGES'!F19&lt;&gt;"",'ISD RURAL TOP 5VILLAGES'!F19,K84)</f>
        <v>KATTUMANNARKOIL</v>
      </c>
      <c r="L85" s="83" t="str">
        <f aca="false">IF('ISD RURAL TOP 5VILLAGES'!G19="","",'ISD RURAL TOP 5VILLAGES'!G19)</f>
        <v>MELAPAKKATHURAI</v>
      </c>
      <c r="M85" s="75" t="n">
        <f aca="false">IF(ISNUMBER('ISD RURAL TOP 5VILLAGES'!H19),'ISD RURAL TOP 5VILLAGES'!H19,"")</f>
        <v>3</v>
      </c>
      <c r="N85" s="85" t="n">
        <f aca="false">IF(ISNUMBER(M85),M85+(1000-41)/100000,-1)</f>
        <v>3.00959</v>
      </c>
      <c r="P85" s="83" t="str">
        <f aca="false">IF('ISD NATHAM TOP 5 VILLAGES'!F19&lt;&gt;"",'ISD NATHAM TOP 5 VILLAGES'!F19,P84)</f>
        <v>KATTUMANNARKOIL</v>
      </c>
      <c r="Q85" s="83" t="str">
        <f aca="false">IF('ISD NATHAM TOP 5 VILLAGES'!G19="","",'ISD NATHAM TOP 5 VILLAGES'!G19)</f>
        <v>KANJANKOLLAI</v>
      </c>
      <c r="R85" s="75" t="n">
        <f aca="false">IF(ISNUMBER('ISD NATHAM TOP 5 VILLAGES'!H19),'ISD NATHAM TOP 5 VILLAGES'!H19,"")</f>
        <v>3</v>
      </c>
      <c r="S85" s="85" t="n">
        <f aca="false">IF(ISNUMBER(R85),R85+(1000-41)/100000,-1)</f>
        <v>3.00959</v>
      </c>
      <c r="U85" s="69" t="str">
        <f aca="false">CHOOSE(Dashboard!$T$24,A85,F85,K85,P85)</f>
        <v>KATTUMANNARKOIL</v>
      </c>
      <c r="V85" s="69" t="str">
        <f aca="false">CHOOSE(Dashboard!$T$24,B85,G85,L85,Q85)</f>
        <v>KARUNAKARANALLUR</v>
      </c>
      <c r="W85" s="23" t="n">
        <f aca="false">CHOOSE(Dashboard!$T$24,C85,H85,M85,R85)</f>
        <v>3</v>
      </c>
      <c r="X85" s="85" t="n">
        <f aca="false">CHOOSE(Dashboard!$T$24,D85,I85,N85,S85)</f>
        <v>3.00959</v>
      </c>
    </row>
    <row r="86" customFormat="false" ht="23.85" hidden="false" customHeight="false" outlineLevel="0" collapsed="false">
      <c r="A86" s="83" t="str">
        <f aca="false">IF('NISD RURAL TOP 5 REJECTION VILL'!F20&lt;&gt;"",'NISD RURAL TOP 5 REJECTION VILL'!F20,A85)</f>
        <v>KATTUMANNARKOIL</v>
      </c>
      <c r="B86" s="83" t="str">
        <f aca="false">IF('NISD RURAL TOP 5 REJECTION VILL'!G20="","",'NISD RURAL TOP 5 REJECTION VILL'!G20)</f>
        <v>KURUNKUDI</v>
      </c>
      <c r="C86" s="75" t="n">
        <f aca="false">IF(ISNUMBER('NISD RURAL TOP 5 REJECTION VILL'!H20),'NISD RURAL TOP 5 REJECTION VILL'!H20,"")</f>
        <v>3</v>
      </c>
      <c r="D86" s="85" t="n">
        <f aca="false">IF(ISNUMBER(C86),C86+(1000-42)/100000,-1)</f>
        <v>3.00958</v>
      </c>
      <c r="F86" s="83" t="str">
        <f aca="false">IF('NISD NATHAM TOP 5 REJECTION VIL'!F20&lt;&gt;"",'NISD NATHAM TOP 5 REJECTION VIL'!F20,F85)</f>
        <v>KATTUMANNARKOIL</v>
      </c>
      <c r="G86" s="83" t="str">
        <f aca="false">IF('NISD NATHAM TOP 5 REJECTION VIL'!G20="","",'NISD NATHAM TOP 5 REJECTION VIL'!G20)</f>
        <v>Mannarkudi</v>
      </c>
      <c r="H86" s="75" t="n">
        <f aca="false">IF(ISNUMBER('NISD NATHAM TOP 5 REJECTION VIL'!H20),'NISD NATHAM TOP 5 REJECTION VIL'!H20,"")</f>
        <v>2</v>
      </c>
      <c r="I86" s="85" t="n">
        <f aca="false">IF(ISNUMBER(H86),H86+(1000-42)/100000,-1)</f>
        <v>2.00958</v>
      </c>
      <c r="K86" s="83" t="str">
        <f aca="false">IF('ISD RURAL TOP 5VILLAGES'!F20&lt;&gt;"",'ISD RURAL TOP 5VILLAGES'!F20,K85)</f>
        <v>KATTUMANNARKOIL</v>
      </c>
      <c r="L86" s="83" t="str">
        <f aca="false">IF('ISD RURAL TOP 5VILLAGES'!G20="","",'ISD RURAL TOP 5VILLAGES'!G20)</f>
        <v>THIRUMOOLASTHANAM</v>
      </c>
      <c r="M86" s="75" t="n">
        <f aca="false">IF(ISNUMBER('ISD RURAL TOP 5VILLAGES'!H20),'ISD RURAL TOP 5VILLAGES'!H20,"")</f>
        <v>2</v>
      </c>
      <c r="N86" s="85" t="n">
        <f aca="false">IF(ISNUMBER(M86),M86+(1000-42)/100000,-1)</f>
        <v>2.00958</v>
      </c>
      <c r="P86" s="83" t="str">
        <f aca="false">IF('ISD NATHAM TOP 5 VILLAGES'!F20&lt;&gt;"",'ISD NATHAM TOP 5 VILLAGES'!F20,P85)</f>
        <v>KATTUMANNARKOIL</v>
      </c>
      <c r="Q86" s="83" t="str">
        <f aca="false">IF('ISD NATHAM TOP 5 VILLAGES'!G20="","",'ISD NATHAM TOP 5 VILLAGES'!G20)</f>
        <v>LALPETTAI</v>
      </c>
      <c r="R86" s="75" t="n">
        <f aca="false">IF(ISNUMBER('ISD NATHAM TOP 5 VILLAGES'!H20),'ISD NATHAM TOP 5 VILLAGES'!H20,"")</f>
        <v>2</v>
      </c>
      <c r="S86" s="85" t="n">
        <f aca="false">IF(ISNUMBER(R86),R86+(1000-42)/100000,-1)</f>
        <v>2.00958</v>
      </c>
      <c r="U86" s="69" t="str">
        <f aca="false">CHOOSE(Dashboard!$T$24,A86,F86,K86,P86)</f>
        <v>KATTUMANNARKOIL</v>
      </c>
      <c r="V86" s="69" t="str">
        <f aca="false">CHOOSE(Dashboard!$T$24,B86,G86,L86,Q86)</f>
        <v>KURUNKUDI</v>
      </c>
      <c r="W86" s="23" t="n">
        <f aca="false">CHOOSE(Dashboard!$T$24,C86,H86,M86,R86)</f>
        <v>3</v>
      </c>
      <c r="X86" s="85" t="n">
        <f aca="false">CHOOSE(Dashboard!$T$24,D86,I86,N86,S86)</f>
        <v>3.00958</v>
      </c>
    </row>
    <row r="87" customFormat="false" ht="23.85" hidden="false" customHeight="false" outlineLevel="0" collapsed="false">
      <c r="A87" s="83" t="str">
        <f aca="false">IF('NISD RURAL TOP 5 REJECTION VILL'!F21&lt;&gt;"",'NISD RURAL TOP 5 REJECTION VILL'!F21,A86)</f>
        <v>KATTUMANNARKOIL</v>
      </c>
      <c r="B87" s="83" t="str">
        <f aca="false">IF('NISD RURAL TOP 5 REJECTION VILL'!G21="","",'NISD RURAL TOP 5 REJECTION VILL'!G21)</f>
        <v>MELPAKATHURAI</v>
      </c>
      <c r="C87" s="75" t="n">
        <f aca="false">IF(ISNUMBER('NISD RURAL TOP 5 REJECTION VILL'!H21),'NISD RURAL TOP 5 REJECTION VILL'!H21,"")</f>
        <v>3</v>
      </c>
      <c r="D87" s="85" t="n">
        <f aca="false">IF(ISNUMBER(C87),C87+(1000-43)/100000,-1)</f>
        <v>3.00957</v>
      </c>
      <c r="F87" s="83" t="str">
        <f aca="false">IF('NISD NATHAM TOP 5 REJECTION VIL'!F21&lt;&gt;"",'NISD NATHAM TOP 5 REJECTION VIL'!F21,F86)</f>
        <v>KATTUMANNARKOIL</v>
      </c>
      <c r="G87" s="83" t="str">
        <f aca="false">IF('NISD NATHAM TOP 5 REJECTION VIL'!G21="","",'NISD NATHAM TOP 5 REJECTION VIL'!G21)</f>
        <v>Chettithangal</v>
      </c>
      <c r="H87" s="75" t="n">
        <f aca="false">IF(ISNUMBER('NISD NATHAM TOP 5 REJECTION VIL'!H21),'NISD NATHAM TOP 5 REJECTION VIL'!H21,"")</f>
        <v>2</v>
      </c>
      <c r="I87" s="85" t="n">
        <f aca="false">IF(ISNUMBER(H87),H87+(1000-43)/100000,-1)</f>
        <v>2.00957</v>
      </c>
      <c r="K87" s="83" t="str">
        <f aca="false">IF('ISD RURAL TOP 5VILLAGES'!F21&lt;&gt;"",'ISD RURAL TOP 5VILLAGES'!F21,K86)</f>
        <v>KATTUMANNARKOIL</v>
      </c>
      <c r="L87" s="83" t="str">
        <f aca="false">IF('ISD RURAL TOP 5VILLAGES'!G21="","",'ISD RURAL TOP 5VILLAGES'!G21)</f>
        <v>KUPPAPILLAICHAVADI</v>
      </c>
      <c r="M87" s="75" t="n">
        <f aca="false">IF(ISNUMBER('ISD RURAL TOP 5VILLAGES'!H21),'ISD RURAL TOP 5VILLAGES'!H21,"")</f>
        <v>2</v>
      </c>
      <c r="N87" s="85" t="n">
        <f aca="false">IF(ISNUMBER(M87),M87+(1000-43)/100000,-1)</f>
        <v>2.00957</v>
      </c>
      <c r="P87" s="83" t="str">
        <f aca="false">IF('ISD NATHAM TOP 5 VILLAGES'!F21&lt;&gt;"",'ISD NATHAM TOP 5 VILLAGES'!F21,P86)</f>
        <v>KATTUMANNARKOIL</v>
      </c>
      <c r="Q87" s="83" t="str">
        <f aca="false">IF('ISD NATHAM TOP 5 VILLAGES'!G21="","",'ISD NATHAM TOP 5 VILLAGES'!G21)</f>
        <v>SIRUKATTUR</v>
      </c>
      <c r="R87" s="75" t="n">
        <f aca="false">IF(ISNUMBER('ISD NATHAM TOP 5 VILLAGES'!H21),'ISD NATHAM TOP 5 VILLAGES'!H21,"")</f>
        <v>1</v>
      </c>
      <c r="S87" s="85" t="n">
        <f aca="false">IF(ISNUMBER(R87),R87+(1000-43)/100000,-1)</f>
        <v>1.00957</v>
      </c>
      <c r="U87" s="69" t="str">
        <f aca="false">CHOOSE(Dashboard!$T$24,A87,F87,K87,P87)</f>
        <v>KATTUMANNARKOIL</v>
      </c>
      <c r="V87" s="69" t="str">
        <f aca="false">CHOOSE(Dashboard!$T$24,B87,G87,L87,Q87)</f>
        <v>MELPAKATHURAI</v>
      </c>
      <c r="W87" s="23" t="n">
        <f aca="false">CHOOSE(Dashboard!$T$24,C87,H87,M87,R87)</f>
        <v>3</v>
      </c>
      <c r="X87" s="85" t="n">
        <f aca="false">CHOOSE(Dashboard!$T$24,D87,I87,N87,S87)</f>
        <v>3.00957</v>
      </c>
    </row>
    <row r="88" customFormat="false" ht="23.85" hidden="false" customHeight="false" outlineLevel="0" collapsed="false">
      <c r="A88" s="83" t="str">
        <f aca="false">IF('NISD RURAL TOP 5 REJECTION VILL'!F22&lt;&gt;"",'NISD RURAL TOP 5 REJECTION VILL'!F22,A87)</f>
        <v>KATTUMANNARKOIL</v>
      </c>
      <c r="B88" s="83" t="str">
        <f aca="false">IF('NISD RURAL TOP 5 REJECTION VILL'!G22="","",'NISD RURAL TOP 5 REJECTION VILL'!G22)</f>
        <v>VEERANATHAPURAM</v>
      </c>
      <c r="C88" s="75" t="n">
        <f aca="false">IF(ISNUMBER('NISD RURAL TOP 5 REJECTION VILL'!H22),'NISD RURAL TOP 5 REJECTION VILL'!H22,"")</f>
        <v>3</v>
      </c>
      <c r="D88" s="85" t="n">
        <f aca="false">IF(ISNUMBER(C88),C88+(1000-44)/100000,-1)</f>
        <v>3.00956</v>
      </c>
      <c r="F88" s="83" t="str">
        <f aca="false">IF('NISD NATHAM TOP 5 REJECTION VIL'!F22&lt;&gt;"",'NISD NATHAM TOP 5 REJECTION VIL'!F22,F87)</f>
        <v>KATTUMANNARKOIL</v>
      </c>
      <c r="G88" s="83" t="str">
        <f aca="false">IF('NISD NATHAM TOP 5 REJECTION VIL'!G22="","",'NISD NATHAM TOP 5 REJECTION VIL'!G22)</f>
        <v>Udiyakudi</v>
      </c>
      <c r="H88" s="75" t="n">
        <f aca="false">IF(ISNUMBER('NISD NATHAM TOP 5 REJECTION VIL'!H22),'NISD NATHAM TOP 5 REJECTION VIL'!H22,"")</f>
        <v>2</v>
      </c>
      <c r="I88" s="85" t="n">
        <f aca="false">IF(ISNUMBER(H88),H88+(1000-44)/100000,-1)</f>
        <v>2.00956</v>
      </c>
      <c r="K88" s="83" t="str">
        <f aca="false">IF('ISD RURAL TOP 5VILLAGES'!F22&lt;&gt;"",'ISD RURAL TOP 5VILLAGES'!F22,K87)</f>
        <v>KATTUMANNARKOIL</v>
      </c>
      <c r="L88" s="83" t="str">
        <f aca="false">IF('ISD RURAL TOP 5VILLAGES'!G22="","",'ISD RURAL TOP 5VILLAGES'!G22)</f>
        <v>VEERANANALLUR</v>
      </c>
      <c r="M88" s="75" t="n">
        <f aca="false">IF(ISNUMBER('ISD RURAL TOP 5VILLAGES'!H22),'ISD RURAL TOP 5VILLAGES'!H22,"")</f>
        <v>2</v>
      </c>
      <c r="N88" s="85" t="n">
        <f aca="false">IF(ISNUMBER(M88),M88+(1000-44)/100000,-1)</f>
        <v>2.00956</v>
      </c>
      <c r="P88" s="83" t="str">
        <f aca="false">IF('ISD NATHAM TOP 5 VILLAGES'!F22&lt;&gt;"",'ISD NATHAM TOP 5 VILLAGES'!F22,P87)</f>
        <v>KATTUMANNARKOIL</v>
      </c>
      <c r="Q88" s="83" t="str">
        <f aca="false">IF('ISD NATHAM TOP 5 VILLAGES'!G22="","",'ISD NATHAM TOP 5 VILLAGES'!G22)</f>
        <v>KOTHAVASAL</v>
      </c>
      <c r="R88" s="75" t="n">
        <f aca="false">IF(ISNUMBER('ISD NATHAM TOP 5 VILLAGES'!H22),'ISD NATHAM TOP 5 VILLAGES'!H22,"")</f>
        <v>1</v>
      </c>
      <c r="S88" s="85" t="n">
        <f aca="false">IF(ISNUMBER(R88),R88+(1000-44)/100000,-1)</f>
        <v>1.00956</v>
      </c>
      <c r="U88" s="69" t="str">
        <f aca="false">CHOOSE(Dashboard!$T$24,A88,F88,K88,P88)</f>
        <v>KATTUMANNARKOIL</v>
      </c>
      <c r="V88" s="69" t="str">
        <f aca="false">CHOOSE(Dashboard!$T$24,B88,G88,L88,Q88)</f>
        <v>VEERANATHAPURAM</v>
      </c>
      <c r="W88" s="23" t="n">
        <f aca="false">CHOOSE(Dashboard!$T$24,C88,H88,M88,R88)</f>
        <v>3</v>
      </c>
      <c r="X88" s="85" t="n">
        <f aca="false">CHOOSE(Dashboard!$T$24,D88,I88,N88,S88)</f>
        <v>3.00956</v>
      </c>
    </row>
    <row r="89" customFormat="false" ht="23.85" hidden="false" customHeight="false" outlineLevel="0" collapsed="false">
      <c r="A89" s="83" t="str">
        <f aca="false">IF('NISD RURAL TOP 5 REJECTION VILL'!F23&lt;&gt;"",'NISD RURAL TOP 5 REJECTION VILL'!F23,A88)</f>
        <v>SRIMUSHNAM</v>
      </c>
      <c r="B89" s="83" t="str">
        <f aca="false">IF('NISD RURAL TOP 5 REJECTION VILL'!G23="","",'NISD RURAL TOP 5 REJECTION VILL'!G23)</f>
        <v>KAVANOOR</v>
      </c>
      <c r="C89" s="75" t="n">
        <f aca="false">IF(ISNUMBER('NISD RURAL TOP 5 REJECTION VILL'!H23),'NISD RURAL TOP 5 REJECTION VILL'!H23,"")</f>
        <v>3</v>
      </c>
      <c r="D89" s="85" t="n">
        <f aca="false">IF(ISNUMBER(C89),C89+(1000-45)/100000,-1)</f>
        <v>3.00955</v>
      </c>
      <c r="F89" s="83" t="str">
        <f aca="false">IF('NISD NATHAM TOP 5 REJECTION VIL'!F23&lt;&gt;"",'NISD NATHAM TOP 5 REJECTION VIL'!F23,F88)</f>
        <v>SRIMUSHNAM</v>
      </c>
      <c r="G89" s="83" t="str">
        <f aca="false">IF('NISD NATHAM TOP 5 REJECTION VIL'!G23="","",'NISD NATHAM TOP 5 REJECTION VIL'!G23)</f>
        <v>Kavanoor</v>
      </c>
      <c r="H89" s="75" t="n">
        <f aca="false">IF(ISNUMBER('NISD NATHAM TOP 5 REJECTION VIL'!H23),'NISD NATHAM TOP 5 REJECTION VIL'!H23,"")</f>
        <v>3</v>
      </c>
      <c r="I89" s="85" t="n">
        <f aca="false">IF(ISNUMBER(H89),H89+(1000-45)/100000,-1)</f>
        <v>3.00955</v>
      </c>
      <c r="K89" s="83" t="str">
        <f aca="false">IF('ISD RURAL TOP 5VILLAGES'!F23&lt;&gt;"",'ISD RURAL TOP 5VILLAGES'!F23,K88)</f>
        <v>SRIMUSHNAM</v>
      </c>
      <c r="L89" s="83" t="str">
        <f aca="false">IF('ISD RURAL TOP 5VILLAGES'!G23="","",'ISD RURAL TOP 5VILLAGES'!G23)</f>
        <v>CHOLATHARAM</v>
      </c>
      <c r="M89" s="75" t="n">
        <f aca="false">IF(ISNUMBER('ISD RURAL TOP 5VILLAGES'!H23),'ISD RURAL TOP 5VILLAGES'!H23,"")</f>
        <v>4</v>
      </c>
      <c r="N89" s="85" t="n">
        <f aca="false">IF(ISNUMBER(M89),M89+(1000-45)/100000,-1)</f>
        <v>4.00955</v>
      </c>
      <c r="P89" s="83" t="str">
        <f aca="false">IF('ISD NATHAM TOP 5 VILLAGES'!F23&lt;&gt;"",'ISD NATHAM TOP 5 VILLAGES'!F23,P88)</f>
        <v>KATTUMANNARKOIL</v>
      </c>
      <c r="Q89" s="83" t="str">
        <f aca="false">IF('ISD NATHAM TOP 5 VILLAGES'!G23="","",'ISD NATHAM TOP 5 VILLAGES'!G23)</f>
        <v/>
      </c>
      <c r="R89" s="83" t="str">
        <f aca="false">IF(ISNUMBER('ISD NATHAM TOP 5 VILLAGES'!H23),'ISD NATHAM TOP 5 VILLAGES'!H23,"")</f>
        <v/>
      </c>
      <c r="S89" s="85" t="n">
        <f aca="false">IF(ISNUMBER(R89),R89+(1000-45)/100000,-1)</f>
        <v>-1</v>
      </c>
      <c r="U89" s="69" t="str">
        <f aca="false">CHOOSE(Dashboard!$T$24,A89,F89,K89,P89)</f>
        <v>SRIMUSHNAM</v>
      </c>
      <c r="V89" s="69" t="str">
        <f aca="false">CHOOSE(Dashboard!$T$24,B89,G89,L89,Q89)</f>
        <v>KAVANOOR</v>
      </c>
      <c r="W89" s="23" t="n">
        <f aca="false">CHOOSE(Dashboard!$T$24,C89,H89,M89,R89)</f>
        <v>3</v>
      </c>
      <c r="X89" s="85" t="n">
        <f aca="false">CHOOSE(Dashboard!$T$24,D89,I89,N89,S89)</f>
        <v>3.00955</v>
      </c>
    </row>
    <row r="90" customFormat="false" ht="23.85" hidden="false" customHeight="false" outlineLevel="0" collapsed="false">
      <c r="A90" s="83" t="str">
        <f aca="false">IF('NISD RURAL TOP 5 REJECTION VILL'!F24&lt;&gt;"",'NISD RURAL TOP 5 REJECTION VILL'!F24,A89)</f>
        <v>SRIMUSHNAM</v>
      </c>
      <c r="B90" s="83" t="str">
        <f aca="false">IF('NISD RURAL TOP 5 REJECTION VILL'!G24="","",'NISD RURAL TOP 5 REJECTION VILL'!G24)</f>
        <v>MARUNGUR</v>
      </c>
      <c r="C90" s="75" t="n">
        <f aca="false">IF(ISNUMBER('NISD RURAL TOP 5 REJECTION VILL'!H24),'NISD RURAL TOP 5 REJECTION VILL'!H24,"")</f>
        <v>2</v>
      </c>
      <c r="D90" s="85" t="n">
        <f aca="false">IF(ISNUMBER(C90),C90+(1000-46)/100000,-1)</f>
        <v>2.00954</v>
      </c>
      <c r="F90" s="83" t="str">
        <f aca="false">IF('NISD NATHAM TOP 5 REJECTION VIL'!F24&lt;&gt;"",'NISD NATHAM TOP 5 REJECTION VIL'!F24,F89)</f>
        <v>SRIMUSHNAM</v>
      </c>
      <c r="G90" s="83" t="str">
        <f aca="false">IF('NISD NATHAM TOP 5 REJECTION VIL'!G24="","",'NISD NATHAM TOP 5 REJECTION VIL'!G24)</f>
        <v>Devangudi</v>
      </c>
      <c r="H90" s="75" t="n">
        <f aca="false">IF(ISNUMBER('NISD NATHAM TOP 5 REJECTION VIL'!H24),'NISD NATHAM TOP 5 REJECTION VIL'!H24,"")</f>
        <v>1</v>
      </c>
      <c r="I90" s="85" t="n">
        <f aca="false">IF(ISNUMBER(H90),H90+(1000-46)/100000,-1)</f>
        <v>1.00954</v>
      </c>
      <c r="K90" s="83" t="str">
        <f aca="false">IF('ISD RURAL TOP 5VILLAGES'!F24&lt;&gt;"",'ISD RURAL TOP 5VILLAGES'!F24,K89)</f>
        <v>SRIMUSHNAM</v>
      </c>
      <c r="L90" s="83" t="str">
        <f aca="false">IF('ISD RURAL TOP 5VILLAGES'!G24="","",'ISD RURAL TOP 5VILLAGES'!G24)</f>
        <v>MATHAKALIRMANIKAM</v>
      </c>
      <c r="M90" s="75" t="n">
        <f aca="false">IF(ISNUMBER('ISD RURAL TOP 5VILLAGES'!H24),'ISD RURAL TOP 5VILLAGES'!H24,"")</f>
        <v>2</v>
      </c>
      <c r="N90" s="85" t="n">
        <f aca="false">IF(ISNUMBER(M90),M90+(1000-46)/100000,-1)</f>
        <v>2.00954</v>
      </c>
      <c r="P90" s="83" t="str">
        <f aca="false">IF('ISD NATHAM TOP 5 VILLAGES'!F24&lt;&gt;"",'ISD NATHAM TOP 5 VILLAGES'!F24,P89)</f>
        <v>KATTUMANNARKOIL</v>
      </c>
      <c r="Q90" s="83" t="str">
        <f aca="false">IF('ISD NATHAM TOP 5 VILLAGES'!G24="","",'ISD NATHAM TOP 5 VILLAGES'!G24)</f>
        <v/>
      </c>
      <c r="R90" s="83" t="str">
        <f aca="false">IF(ISNUMBER('ISD NATHAM TOP 5 VILLAGES'!H24),'ISD NATHAM TOP 5 VILLAGES'!H24,"")</f>
        <v/>
      </c>
      <c r="S90" s="85" t="n">
        <f aca="false">IF(ISNUMBER(R90),R90+(1000-46)/100000,-1)</f>
        <v>-1</v>
      </c>
      <c r="U90" s="69" t="str">
        <f aca="false">CHOOSE(Dashboard!$T$24,A90,F90,K90,P90)</f>
        <v>SRIMUSHNAM</v>
      </c>
      <c r="V90" s="69" t="str">
        <f aca="false">CHOOSE(Dashboard!$T$24,B90,G90,L90,Q90)</f>
        <v>MARUNGUR</v>
      </c>
      <c r="W90" s="23" t="n">
        <f aca="false">CHOOSE(Dashboard!$T$24,C90,H90,M90,R90)</f>
        <v>2</v>
      </c>
      <c r="X90" s="85" t="n">
        <f aca="false">CHOOSE(Dashboard!$T$24,D90,I90,N90,S90)</f>
        <v>2.00954</v>
      </c>
    </row>
    <row r="91" customFormat="false" ht="23.85" hidden="false" customHeight="false" outlineLevel="0" collapsed="false">
      <c r="A91" s="83" t="str">
        <f aca="false">IF('NISD RURAL TOP 5 REJECTION VILL'!F25&lt;&gt;"",'NISD RURAL TOP 5 REJECTION VILL'!F25,A90)</f>
        <v>SRIMUSHNAM</v>
      </c>
      <c r="B91" s="83" t="str">
        <f aca="false">IF('NISD RURAL TOP 5 REJECTION VILL'!G25="","",'NISD RURAL TOP 5 REJECTION VILL'!G25)</f>
        <v>NAGARAPPADI</v>
      </c>
      <c r="C91" s="75" t="n">
        <f aca="false">IF(ISNUMBER('NISD RURAL TOP 5 REJECTION VILL'!H25),'NISD RURAL TOP 5 REJECTION VILL'!H25,"")</f>
        <v>2</v>
      </c>
      <c r="D91" s="85" t="n">
        <f aca="false">IF(ISNUMBER(C91),C91+(1000-47)/100000,-1)</f>
        <v>2.00953</v>
      </c>
      <c r="F91" s="83" t="str">
        <f aca="false">IF('NISD NATHAM TOP 5 REJECTION VIL'!F25&lt;&gt;"",'NISD NATHAM TOP 5 REJECTION VIL'!F25,F90)</f>
        <v>SRIMUSHNAM</v>
      </c>
      <c r="G91" s="83" t="str">
        <f aca="false">IF('NISD NATHAM TOP 5 REJECTION VIL'!G25="","",'NISD NATHAM TOP 5 REJECTION VIL'!G25)</f>
        <v>Srivakkaramari</v>
      </c>
      <c r="H91" s="75" t="n">
        <f aca="false">IF(ISNUMBER('NISD NATHAM TOP 5 REJECTION VIL'!H25),'NISD NATHAM TOP 5 REJECTION VIL'!H25,"")</f>
        <v>1</v>
      </c>
      <c r="I91" s="85" t="n">
        <f aca="false">IF(ISNUMBER(H91),H91+(1000-47)/100000,-1)</f>
        <v>1.00953</v>
      </c>
      <c r="K91" s="83" t="str">
        <f aca="false">IF('ISD RURAL TOP 5VILLAGES'!F25&lt;&gt;"",'ISD RURAL TOP 5VILLAGES'!F25,K90)</f>
        <v>SRIMUSHNAM</v>
      </c>
      <c r="L91" s="83" t="str">
        <f aca="false">IF('ISD RURAL TOP 5VILLAGES'!G25="","",'ISD RURAL TOP 5VILLAGES'!G25)</f>
        <v>SRINEDUCHERRY</v>
      </c>
      <c r="M91" s="75" t="n">
        <f aca="false">IF(ISNUMBER('ISD RURAL TOP 5VILLAGES'!H25),'ISD RURAL TOP 5VILLAGES'!H25,"")</f>
        <v>1</v>
      </c>
      <c r="N91" s="85" t="n">
        <f aca="false">IF(ISNUMBER(M91),M91+(1000-47)/100000,-1)</f>
        <v>1.00953</v>
      </c>
      <c r="P91" s="83" t="str">
        <f aca="false">IF('ISD NATHAM TOP 5 VILLAGES'!F25&lt;&gt;"",'ISD NATHAM TOP 5 VILLAGES'!F25,P90)</f>
        <v>KATTUMANNARKOIL</v>
      </c>
      <c r="Q91" s="83" t="str">
        <f aca="false">IF('ISD NATHAM TOP 5 VILLAGES'!G25="","",'ISD NATHAM TOP 5 VILLAGES'!G25)</f>
        <v/>
      </c>
      <c r="R91" s="83" t="str">
        <f aca="false">IF(ISNUMBER('ISD NATHAM TOP 5 VILLAGES'!H25),'ISD NATHAM TOP 5 VILLAGES'!H25,"")</f>
        <v/>
      </c>
      <c r="S91" s="85" t="n">
        <f aca="false">IF(ISNUMBER(R91),R91+(1000-47)/100000,-1)</f>
        <v>-1</v>
      </c>
      <c r="U91" s="69" t="str">
        <f aca="false">CHOOSE(Dashboard!$T$24,A91,F91,K91,P91)</f>
        <v>SRIMUSHNAM</v>
      </c>
      <c r="V91" s="69" t="str">
        <f aca="false">CHOOSE(Dashboard!$T$24,B91,G91,L91,Q91)</f>
        <v>NAGARAPPADI</v>
      </c>
      <c r="W91" s="23" t="n">
        <f aca="false">CHOOSE(Dashboard!$T$24,C91,H91,M91,R91)</f>
        <v>2</v>
      </c>
      <c r="X91" s="85" t="n">
        <f aca="false">CHOOSE(Dashboard!$T$24,D91,I91,N91,S91)</f>
        <v>2.00953</v>
      </c>
    </row>
    <row r="92" customFormat="false" ht="23.85" hidden="false" customHeight="false" outlineLevel="0" collapsed="false">
      <c r="A92" s="83" t="str">
        <f aca="false">IF('NISD RURAL TOP 5 REJECTION VILL'!F26&lt;&gt;"",'NISD RURAL TOP 5 REJECTION VILL'!F26,A91)</f>
        <v>SRIMUSHNAM</v>
      </c>
      <c r="B92" s="83" t="str">
        <f aca="false">IF('NISD RURAL TOP 5 REJECTION VILL'!G26="","",'NISD RURAL TOP 5 REJECTION VILL'!G26)</f>
        <v>VALLIYAM</v>
      </c>
      <c r="C92" s="75" t="n">
        <f aca="false">IF(ISNUMBER('NISD RURAL TOP 5 REJECTION VILL'!H26),'NISD RURAL TOP 5 REJECTION VILL'!H26,"")</f>
        <v>2</v>
      </c>
      <c r="D92" s="85" t="n">
        <f aca="false">IF(ISNUMBER(C92),C92+(1000-48)/100000,-1)</f>
        <v>2.00952</v>
      </c>
      <c r="F92" s="83" t="str">
        <f aca="false">IF('NISD NATHAM TOP 5 REJECTION VIL'!F26&lt;&gt;"",'NISD NATHAM TOP 5 REJECTION VIL'!F26,F91)</f>
        <v>SRIMUSHNAM</v>
      </c>
      <c r="G92" s="83" t="str">
        <f aca="false">IF('NISD NATHAM TOP 5 REJECTION VIL'!G26="","",'NISD NATHAM TOP 5 REJECTION VIL'!G26)</f>
        <v>Srineduncherry</v>
      </c>
      <c r="H92" s="75" t="n">
        <f aca="false">IF(ISNUMBER('NISD NATHAM TOP 5 REJECTION VIL'!H26),'NISD NATHAM TOP 5 REJECTION VIL'!H26,"")</f>
        <v>1</v>
      </c>
      <c r="I92" s="85" t="n">
        <f aca="false">IF(ISNUMBER(H92),H92+(1000-48)/100000,-1)</f>
        <v>1.00952</v>
      </c>
      <c r="K92" s="83" t="str">
        <f aca="false">IF('ISD RURAL TOP 5VILLAGES'!F26&lt;&gt;"",'ISD RURAL TOP 5VILLAGES'!F26,K91)</f>
        <v>SRIMUSHNAM</v>
      </c>
      <c r="L92" s="83" t="str">
        <f aca="false">IF('ISD RURAL TOP 5VILLAGES'!G26="","",'ISD RURAL TOP 5VILLAGES'!G26)</f>
        <v>NANGUDI</v>
      </c>
      <c r="M92" s="75" t="n">
        <f aca="false">IF(ISNUMBER('ISD RURAL TOP 5VILLAGES'!H26),'ISD RURAL TOP 5VILLAGES'!H26,"")</f>
        <v>1</v>
      </c>
      <c r="N92" s="85" t="n">
        <f aca="false">IF(ISNUMBER(M92),M92+(1000-48)/100000,-1)</f>
        <v>1.00952</v>
      </c>
      <c r="P92" s="83" t="str">
        <f aca="false">IF('ISD NATHAM TOP 5 VILLAGES'!F26&lt;&gt;"",'ISD NATHAM TOP 5 VILLAGES'!F26,P91)</f>
        <v>KATTUMANNARKOIL</v>
      </c>
      <c r="Q92" s="83" t="str">
        <f aca="false">IF('ISD NATHAM TOP 5 VILLAGES'!G26="","",'ISD NATHAM TOP 5 VILLAGES'!G26)</f>
        <v/>
      </c>
      <c r="R92" s="83" t="str">
        <f aca="false">IF(ISNUMBER('ISD NATHAM TOP 5 VILLAGES'!H26),'ISD NATHAM TOP 5 VILLAGES'!H26,"")</f>
        <v/>
      </c>
      <c r="S92" s="85" t="n">
        <f aca="false">IF(ISNUMBER(R92),R92+(1000-48)/100000,-1)</f>
        <v>-1</v>
      </c>
      <c r="U92" s="69" t="str">
        <f aca="false">CHOOSE(Dashboard!$T$24,A92,F92,K92,P92)</f>
        <v>SRIMUSHNAM</v>
      </c>
      <c r="V92" s="69" t="str">
        <f aca="false">CHOOSE(Dashboard!$T$24,B92,G92,L92,Q92)</f>
        <v>VALLIYAM</v>
      </c>
      <c r="W92" s="23" t="n">
        <f aca="false">CHOOSE(Dashboard!$T$24,C92,H92,M92,R92)</f>
        <v>2</v>
      </c>
      <c r="X92" s="85" t="n">
        <f aca="false">CHOOSE(Dashboard!$T$24,D92,I92,N92,S92)</f>
        <v>2.00952</v>
      </c>
    </row>
    <row r="93" customFormat="false" ht="23.85" hidden="false" customHeight="false" outlineLevel="0" collapsed="false">
      <c r="A93" s="83" t="str">
        <f aca="false">IF('NISD RURAL TOP 5 REJECTION VILL'!F27&lt;&gt;"",'NISD RURAL TOP 5 REJECTION VILL'!F27,A92)</f>
        <v>SRIMUSHNAM</v>
      </c>
      <c r="B93" s="83" t="str">
        <f aca="false">IF('NISD RURAL TOP 5 REJECTION VILL'!G27="","",'NISD RURAL TOP 5 REJECTION VILL'!G27)</f>
        <v>SRINEDUCHERRY</v>
      </c>
      <c r="C93" s="75" t="n">
        <f aca="false">IF(ISNUMBER('NISD RURAL TOP 5 REJECTION VILL'!H27),'NISD RURAL TOP 5 REJECTION VILL'!H27,"")</f>
        <v>2</v>
      </c>
      <c r="D93" s="85" t="n">
        <f aca="false">IF(ISNUMBER(C93),C93+(1000-49)/100000,-1)</f>
        <v>2.00951</v>
      </c>
      <c r="F93" s="83" t="str">
        <f aca="false">IF('NISD NATHAM TOP 5 REJECTION VIL'!F27&lt;&gt;"",'NISD NATHAM TOP 5 REJECTION VIL'!F27,F92)</f>
        <v>SRIMUSHNAM</v>
      </c>
      <c r="G93" s="83" t="str">
        <f aca="false">IF('NISD NATHAM TOP 5 REJECTION VIL'!G27="","",'NISD NATHAM TOP 5 REJECTION VIL'!G27)</f>
        <v>Ramapuram</v>
      </c>
      <c r="H93" s="75" t="n">
        <f aca="false">IF(ISNUMBER('NISD NATHAM TOP 5 REJECTION VIL'!H27),'NISD NATHAM TOP 5 REJECTION VIL'!H27,"")</f>
        <v>1</v>
      </c>
      <c r="I93" s="85" t="n">
        <f aca="false">IF(ISNUMBER(H93),H93+(1000-49)/100000,-1)</f>
        <v>1.00951</v>
      </c>
      <c r="K93" s="83" t="str">
        <f aca="false">IF('ISD RURAL TOP 5VILLAGES'!F27&lt;&gt;"",'ISD RURAL TOP 5VILLAGES'!F27,K92)</f>
        <v>SRIMUSHNAM</v>
      </c>
      <c r="L93" s="83" t="str">
        <f aca="false">IF('ISD RURAL TOP 5VILLAGES'!G27="","",'ISD RURAL TOP 5VILLAGES'!G27)</f>
        <v>PALAYAMKOTTIKEELPATHI</v>
      </c>
      <c r="M93" s="75" t="n">
        <f aca="false">IF(ISNUMBER('ISD RURAL TOP 5VILLAGES'!H27),'ISD RURAL TOP 5VILLAGES'!H27,"")</f>
        <v>1</v>
      </c>
      <c r="N93" s="85" t="n">
        <f aca="false">IF(ISNUMBER(M93),M93+(1000-49)/100000,-1)</f>
        <v>1.00951</v>
      </c>
      <c r="P93" s="83" t="str">
        <f aca="false">IF('ISD NATHAM TOP 5 VILLAGES'!F27&lt;&gt;"",'ISD NATHAM TOP 5 VILLAGES'!F27,P92)</f>
        <v>KATTUMANNARKOIL</v>
      </c>
      <c r="Q93" s="83" t="str">
        <f aca="false">IF('ISD NATHAM TOP 5 VILLAGES'!G27="","",'ISD NATHAM TOP 5 VILLAGES'!G27)</f>
        <v/>
      </c>
      <c r="R93" s="83" t="str">
        <f aca="false">IF(ISNUMBER('ISD NATHAM TOP 5 VILLAGES'!H27),'ISD NATHAM TOP 5 VILLAGES'!H27,"")</f>
        <v/>
      </c>
      <c r="S93" s="85" t="n">
        <f aca="false">IF(ISNUMBER(R93),R93+(1000-49)/100000,-1)</f>
        <v>-1</v>
      </c>
      <c r="U93" s="69" t="str">
        <f aca="false">CHOOSE(Dashboard!$T$24,A93,F93,K93,P93)</f>
        <v>SRIMUSHNAM</v>
      </c>
      <c r="V93" s="69" t="str">
        <f aca="false">CHOOSE(Dashboard!$T$24,B93,G93,L93,Q93)</f>
        <v>SRINEDUCHERRY</v>
      </c>
      <c r="W93" s="23" t="n">
        <f aca="false">CHOOSE(Dashboard!$T$24,C93,H93,M93,R93)</f>
        <v>2</v>
      </c>
      <c r="X93" s="85" t="n">
        <f aca="false">CHOOSE(Dashboard!$T$24,D93,I93,N93,S93)</f>
        <v>2.00951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2026-10-08T17:17:25Z</dcterms:created>
  <dc:creator>openpyxl</dc:creator>
  <dc:description/>
  <dc:language>en-US</dc:language>
  <cp:lastModifiedBy/>
  <dcterms:modified xsi:type="dcterms:W3CDTF">2026-10-08T17:17:28Z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